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hidePivotFieldList="1" defaultThemeVersion="166925"/>
  <mc:AlternateContent xmlns:mc="http://schemas.openxmlformats.org/markup-compatibility/2006">
    <mc:Choice Requires="x15">
      <x15ac:absPath xmlns:x15ac="http://schemas.microsoft.com/office/spreadsheetml/2010/11/ac" url="C:\Users\cengel\Desktop\"/>
    </mc:Choice>
  </mc:AlternateContent>
  <xr:revisionPtr revIDLastSave="0" documentId="8_{4626F7BD-2D1B-4E11-A3DA-A87523C827BA}" xr6:coauthVersionLast="47" xr6:coauthVersionMax="47" xr10:uidLastSave="{00000000-0000-0000-0000-000000000000}"/>
  <bookViews>
    <workbookView xWindow="-120" yWindow="-120" windowWidth="29040" windowHeight="15720" firstSheet="2" activeTab="2" xr2:uid="{0C73F4C0-9FE1-47C0-A210-1B116066DA32}"/>
  </bookViews>
  <sheets>
    <sheet name="Pivot" sheetId="2" r:id="rId1"/>
    <sheet name="Fahrzeuganzahl Tourgebiet" sheetId="3" r:id="rId2"/>
    <sheet name="Detaildaten" sheetId="1" r:id="rId3"/>
    <sheet name="Regiograph Hilfstabelle" sheetId="4" r:id="rId4"/>
  </sheets>
  <definedNames>
    <definedName name="_xlnm._FilterDatabase" localSheetId="2" hidden="1">Detaildaten!$A$1:$T$303</definedName>
    <definedName name="_xlnm._FilterDatabase" localSheetId="3" hidden="1">'Regiograph Hilfstabelle'!$A$1:$C$302</definedName>
  </definedNames>
  <calcPr calcId="191028"/>
  <pivotCaches>
    <pivotCache cacheId="0" r:id="rId5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S232" i="1" l="1"/>
  <c r="O232" i="1"/>
  <c r="L232" i="1"/>
  <c r="I232" i="1"/>
  <c r="S213" i="1"/>
  <c r="O213" i="1"/>
  <c r="L213" i="1"/>
  <c r="I213" i="1"/>
  <c r="S212" i="1"/>
  <c r="O212" i="1"/>
  <c r="L212" i="1"/>
  <c r="I212" i="1"/>
  <c r="S209" i="1"/>
  <c r="O209" i="1"/>
  <c r="L209" i="1"/>
  <c r="I209" i="1"/>
  <c r="S208" i="1"/>
  <c r="O208" i="1"/>
  <c r="L208" i="1"/>
  <c r="I208" i="1"/>
  <c r="S206" i="1"/>
  <c r="O206" i="1"/>
  <c r="L206" i="1"/>
  <c r="I206" i="1"/>
  <c r="S231" i="1"/>
  <c r="O231" i="1"/>
  <c r="L231" i="1"/>
  <c r="I231" i="1"/>
  <c r="S227" i="1"/>
  <c r="O227" i="1"/>
  <c r="L227" i="1"/>
  <c r="I227" i="1"/>
  <c r="S225" i="1"/>
  <c r="O225" i="1"/>
  <c r="L225" i="1"/>
  <c r="I225" i="1"/>
  <c r="S223" i="1"/>
  <c r="O223" i="1"/>
  <c r="L223" i="1"/>
  <c r="I223" i="1"/>
  <c r="S217" i="1"/>
  <c r="O217" i="1"/>
  <c r="L217" i="1"/>
  <c r="I217" i="1"/>
  <c r="S228" i="1"/>
  <c r="O228" i="1"/>
  <c r="L228" i="1"/>
  <c r="I228" i="1"/>
  <c r="S214" i="1"/>
  <c r="O214" i="1"/>
  <c r="L214" i="1"/>
  <c r="I214" i="1"/>
  <c r="S229" i="1"/>
  <c r="O229" i="1"/>
  <c r="L229" i="1"/>
  <c r="I229" i="1"/>
  <c r="S226" i="1"/>
  <c r="O226" i="1"/>
  <c r="L226" i="1"/>
  <c r="I226" i="1"/>
  <c r="S243" i="1"/>
  <c r="O243" i="1"/>
  <c r="L243" i="1"/>
  <c r="I243" i="1"/>
  <c r="S235" i="1"/>
  <c r="O235" i="1"/>
  <c r="L235" i="1"/>
  <c r="I235" i="1"/>
  <c r="S260" i="1"/>
  <c r="O260" i="1"/>
  <c r="L260" i="1"/>
  <c r="I260" i="1"/>
  <c r="S258" i="1"/>
  <c r="O258" i="1"/>
  <c r="L258" i="1"/>
  <c r="I258" i="1"/>
  <c r="S256" i="1"/>
  <c r="O256" i="1"/>
  <c r="L256" i="1"/>
  <c r="I256" i="1"/>
  <c r="S255" i="1"/>
  <c r="O255" i="1"/>
  <c r="L255" i="1"/>
  <c r="I255" i="1"/>
  <c r="S252" i="1"/>
  <c r="O252" i="1"/>
  <c r="L252" i="1"/>
  <c r="I252" i="1"/>
  <c r="S251" i="1"/>
  <c r="O251" i="1"/>
  <c r="L251" i="1"/>
  <c r="I251" i="1"/>
  <c r="S250" i="1"/>
  <c r="O250" i="1"/>
  <c r="L250" i="1"/>
  <c r="I250" i="1"/>
  <c r="S247" i="1"/>
  <c r="O247" i="1"/>
  <c r="L247" i="1"/>
  <c r="I247" i="1"/>
  <c r="S245" i="1"/>
  <c r="O245" i="1"/>
  <c r="L245" i="1"/>
  <c r="I245" i="1"/>
  <c r="S244" i="1"/>
  <c r="O244" i="1"/>
  <c r="L244" i="1"/>
  <c r="I244" i="1"/>
  <c r="S242" i="1"/>
  <c r="O242" i="1"/>
  <c r="L242" i="1"/>
  <c r="I242" i="1"/>
  <c r="S241" i="1"/>
  <c r="O241" i="1"/>
  <c r="L241" i="1"/>
  <c r="I241" i="1"/>
  <c r="S240" i="1"/>
  <c r="O240" i="1"/>
  <c r="L240" i="1"/>
  <c r="I240" i="1"/>
  <c r="S238" i="1"/>
  <c r="O238" i="1"/>
  <c r="L238" i="1"/>
  <c r="I238" i="1"/>
  <c r="S237" i="1"/>
  <c r="O237" i="1"/>
  <c r="L237" i="1"/>
  <c r="I237" i="1"/>
  <c r="S234" i="1"/>
  <c r="O234" i="1"/>
  <c r="L234" i="1"/>
  <c r="I234" i="1"/>
  <c r="S230" i="1"/>
  <c r="O230" i="1"/>
  <c r="L230" i="1"/>
  <c r="I230" i="1"/>
  <c r="S222" i="1"/>
  <c r="O222" i="1"/>
  <c r="L222" i="1"/>
  <c r="I222" i="1"/>
  <c r="S220" i="1"/>
  <c r="O220" i="1"/>
  <c r="L220" i="1"/>
  <c r="I220" i="1"/>
  <c r="S216" i="1"/>
  <c r="O216" i="1"/>
  <c r="L216" i="1"/>
  <c r="I216" i="1"/>
  <c r="S148" i="1"/>
  <c r="O148" i="1"/>
  <c r="L148" i="1"/>
  <c r="I148" i="1"/>
  <c r="S147" i="1"/>
  <c r="O147" i="1"/>
  <c r="L147" i="1"/>
  <c r="I147" i="1"/>
  <c r="S146" i="1"/>
  <c r="O146" i="1"/>
  <c r="L146" i="1"/>
  <c r="I146" i="1"/>
  <c r="S145" i="1"/>
  <c r="O145" i="1"/>
  <c r="L145" i="1"/>
  <c r="I145" i="1"/>
  <c r="S144" i="1"/>
  <c r="O144" i="1"/>
  <c r="L144" i="1"/>
  <c r="I144" i="1"/>
  <c r="S143" i="1"/>
  <c r="O143" i="1"/>
  <c r="L143" i="1"/>
  <c r="I143" i="1"/>
  <c r="S142" i="1"/>
  <c r="O142" i="1"/>
  <c r="L142" i="1"/>
  <c r="I142" i="1"/>
  <c r="S141" i="1"/>
  <c r="O141" i="1"/>
  <c r="L141" i="1"/>
  <c r="I141" i="1"/>
  <c r="S67" i="1"/>
  <c r="O67" i="1"/>
  <c r="L67" i="1"/>
  <c r="I67" i="1"/>
  <c r="S291" i="1"/>
  <c r="O291" i="1"/>
  <c r="L291" i="1"/>
  <c r="I291" i="1"/>
  <c r="S288" i="1"/>
  <c r="O288" i="1"/>
  <c r="L288" i="1"/>
  <c r="I288" i="1"/>
  <c r="S287" i="1"/>
  <c r="O287" i="1"/>
  <c r="L287" i="1"/>
  <c r="I287" i="1"/>
  <c r="S286" i="1"/>
  <c r="O286" i="1"/>
  <c r="L286" i="1"/>
  <c r="I286" i="1"/>
  <c r="S284" i="1"/>
  <c r="O284" i="1"/>
  <c r="L284" i="1"/>
  <c r="I284" i="1"/>
  <c r="S283" i="1"/>
  <c r="O283" i="1"/>
  <c r="L283" i="1"/>
  <c r="I283" i="1"/>
  <c r="S281" i="1"/>
  <c r="O281" i="1"/>
  <c r="L281" i="1"/>
  <c r="I281" i="1"/>
  <c r="S181" i="1"/>
  <c r="O181" i="1"/>
  <c r="L181" i="1"/>
  <c r="I181" i="1"/>
  <c r="S180" i="1"/>
  <c r="O180" i="1"/>
  <c r="L180" i="1"/>
  <c r="I180" i="1"/>
  <c r="S205" i="1"/>
  <c r="O205" i="1"/>
  <c r="L205" i="1"/>
  <c r="I205" i="1"/>
  <c r="S204" i="1"/>
  <c r="O204" i="1"/>
  <c r="L204" i="1"/>
  <c r="I204" i="1"/>
  <c r="S203" i="1"/>
  <c r="O203" i="1"/>
  <c r="L203" i="1"/>
  <c r="I203" i="1"/>
  <c r="S199" i="1"/>
  <c r="O199" i="1"/>
  <c r="L199" i="1"/>
  <c r="I199" i="1"/>
  <c r="S198" i="1"/>
  <c r="O198" i="1"/>
  <c r="L198" i="1"/>
  <c r="I198" i="1"/>
  <c r="S197" i="1"/>
  <c r="O197" i="1"/>
  <c r="L197" i="1"/>
  <c r="I197" i="1"/>
  <c r="S196" i="1"/>
  <c r="O196" i="1"/>
  <c r="L196" i="1"/>
  <c r="I196" i="1"/>
  <c r="S195" i="1"/>
  <c r="O195" i="1"/>
  <c r="L195" i="1"/>
  <c r="I195" i="1"/>
  <c r="S185" i="1"/>
  <c r="O185" i="1"/>
  <c r="L185" i="1"/>
  <c r="I185" i="1"/>
  <c r="S19" i="1"/>
  <c r="O19" i="1"/>
  <c r="L19" i="1"/>
  <c r="I19" i="1"/>
  <c r="S18" i="1"/>
  <c r="O18" i="1"/>
  <c r="L18" i="1"/>
  <c r="I18" i="1"/>
  <c r="S192" i="1"/>
  <c r="O192" i="1"/>
  <c r="L192" i="1"/>
  <c r="I192" i="1"/>
  <c r="S186" i="1"/>
  <c r="O186" i="1"/>
  <c r="L186" i="1"/>
  <c r="I186" i="1"/>
  <c r="S190" i="1"/>
  <c r="O190" i="1"/>
  <c r="L190" i="1"/>
  <c r="I190" i="1"/>
  <c r="S83" i="1"/>
  <c r="O83" i="1"/>
  <c r="L83" i="1"/>
  <c r="I83" i="1"/>
  <c r="S194" i="1"/>
  <c r="O194" i="1"/>
  <c r="L194" i="1"/>
  <c r="I194" i="1"/>
  <c r="S187" i="1"/>
  <c r="O187" i="1"/>
  <c r="L187" i="1"/>
  <c r="I187" i="1"/>
  <c r="S84" i="1"/>
  <c r="O84" i="1"/>
  <c r="L84" i="1"/>
  <c r="I84" i="1"/>
  <c r="S124" i="1"/>
  <c r="O124" i="1"/>
  <c r="L124" i="1"/>
  <c r="I124" i="1"/>
  <c r="S122" i="1"/>
  <c r="O122" i="1"/>
  <c r="L122" i="1"/>
  <c r="I122" i="1"/>
  <c r="S114" i="1"/>
  <c r="O114" i="1"/>
  <c r="L114" i="1"/>
  <c r="I114" i="1"/>
  <c r="S113" i="1"/>
  <c r="O113" i="1"/>
  <c r="L113" i="1"/>
  <c r="I113" i="1"/>
  <c r="S107" i="1"/>
  <c r="O107" i="1"/>
  <c r="L107" i="1"/>
  <c r="I107" i="1"/>
  <c r="S69" i="1"/>
  <c r="O69" i="1"/>
  <c r="L69" i="1"/>
  <c r="I69" i="1"/>
  <c r="S300" i="1"/>
  <c r="O300" i="1"/>
  <c r="L300" i="1"/>
  <c r="I300" i="1"/>
  <c r="S78" i="1"/>
  <c r="O78" i="1"/>
  <c r="L78" i="1"/>
  <c r="I78" i="1"/>
  <c r="S77" i="1"/>
  <c r="O77" i="1"/>
  <c r="L77" i="1"/>
  <c r="I77" i="1"/>
  <c r="S76" i="1"/>
  <c r="O76" i="1"/>
  <c r="L76" i="1"/>
  <c r="I76" i="1"/>
  <c r="S75" i="1"/>
  <c r="O75" i="1"/>
  <c r="L75" i="1"/>
  <c r="I75" i="1"/>
  <c r="S74" i="1"/>
  <c r="O74" i="1"/>
  <c r="L74" i="1"/>
  <c r="I74" i="1"/>
  <c r="S73" i="1"/>
  <c r="O73" i="1"/>
  <c r="L73" i="1"/>
  <c r="I73" i="1"/>
  <c r="S42" i="1"/>
  <c r="O42" i="1"/>
  <c r="L42" i="1"/>
  <c r="I42" i="1"/>
  <c r="S301" i="1"/>
  <c r="O301" i="1"/>
  <c r="L301" i="1"/>
  <c r="I301" i="1"/>
  <c r="S299" i="1"/>
  <c r="O299" i="1"/>
  <c r="L299" i="1"/>
  <c r="I299" i="1"/>
  <c r="S298" i="1"/>
  <c r="O298" i="1"/>
  <c r="L298" i="1"/>
  <c r="I298" i="1"/>
  <c r="S297" i="1"/>
  <c r="O297" i="1"/>
  <c r="L297" i="1"/>
  <c r="I297" i="1"/>
  <c r="S296" i="1"/>
  <c r="O296" i="1"/>
  <c r="L296" i="1"/>
  <c r="I296" i="1"/>
  <c r="S295" i="1"/>
  <c r="O295" i="1"/>
  <c r="L295" i="1"/>
  <c r="I295" i="1"/>
  <c r="S278" i="1"/>
  <c r="O278" i="1"/>
  <c r="L278" i="1"/>
  <c r="I278" i="1"/>
  <c r="S263" i="1"/>
  <c r="O263" i="1"/>
  <c r="L263" i="1"/>
  <c r="I263" i="1"/>
  <c r="S262" i="1"/>
  <c r="O262" i="1"/>
  <c r="L262" i="1"/>
  <c r="I262" i="1"/>
  <c r="S261" i="1"/>
  <c r="O261" i="1"/>
  <c r="L261" i="1"/>
  <c r="I261" i="1"/>
  <c r="S259" i="1"/>
  <c r="O259" i="1"/>
  <c r="L259" i="1"/>
  <c r="I259" i="1"/>
  <c r="S257" i="1"/>
  <c r="O257" i="1"/>
  <c r="L257" i="1"/>
  <c r="I257" i="1"/>
  <c r="S43" i="1"/>
  <c r="O43" i="1"/>
  <c r="L43" i="1"/>
  <c r="I43" i="1"/>
  <c r="S293" i="1"/>
  <c r="O293" i="1"/>
  <c r="L293" i="1"/>
  <c r="I293" i="1"/>
  <c r="S292" i="1"/>
  <c r="O292" i="1"/>
  <c r="L292" i="1"/>
  <c r="I292" i="1"/>
  <c r="S289" i="1"/>
  <c r="O289" i="1"/>
  <c r="L289" i="1"/>
  <c r="I289" i="1"/>
  <c r="S285" i="1"/>
  <c r="O285" i="1"/>
  <c r="L285" i="1"/>
  <c r="I285" i="1"/>
  <c r="S274" i="1"/>
  <c r="O274" i="1"/>
  <c r="L274" i="1"/>
  <c r="I274" i="1"/>
  <c r="S72" i="1"/>
  <c r="O72" i="1"/>
  <c r="L72" i="1"/>
  <c r="I72" i="1"/>
  <c r="S71" i="1"/>
  <c r="O71" i="1"/>
  <c r="L71" i="1"/>
  <c r="I71" i="1"/>
  <c r="S70" i="1"/>
  <c r="O70" i="1"/>
  <c r="L70" i="1"/>
  <c r="I70" i="1"/>
  <c r="S68" i="1"/>
  <c r="O68" i="1"/>
  <c r="L68" i="1"/>
  <c r="I68" i="1"/>
  <c r="S54" i="1"/>
  <c r="O54" i="1"/>
  <c r="L54" i="1"/>
  <c r="I54" i="1"/>
  <c r="S28" i="1"/>
  <c r="O28" i="1"/>
  <c r="L28" i="1"/>
  <c r="I28" i="1"/>
  <c r="S16" i="1"/>
  <c r="O16" i="1"/>
  <c r="L16" i="1"/>
  <c r="I16" i="1"/>
  <c r="S15" i="1"/>
  <c r="O15" i="1"/>
  <c r="L15" i="1"/>
  <c r="I15" i="1"/>
  <c r="S154" i="1"/>
  <c r="O154" i="1"/>
  <c r="L154" i="1"/>
  <c r="I154" i="1"/>
  <c r="S137" i="1"/>
  <c r="O137" i="1"/>
  <c r="L137" i="1"/>
  <c r="I137" i="1"/>
  <c r="S62" i="1"/>
  <c r="O62" i="1"/>
  <c r="L62" i="1"/>
  <c r="I62" i="1"/>
  <c r="S40" i="1"/>
  <c r="O40" i="1"/>
  <c r="L40" i="1"/>
  <c r="I40" i="1"/>
  <c r="S39" i="1"/>
  <c r="O39" i="1"/>
  <c r="L39" i="1"/>
  <c r="I39" i="1"/>
  <c r="S36" i="1"/>
  <c r="O36" i="1"/>
  <c r="L36" i="1"/>
  <c r="I36" i="1"/>
  <c r="S35" i="1"/>
  <c r="O35" i="1"/>
  <c r="L35" i="1"/>
  <c r="I35" i="1"/>
  <c r="S34" i="1"/>
  <c r="O34" i="1"/>
  <c r="L34" i="1"/>
  <c r="I34" i="1"/>
  <c r="S33" i="1"/>
  <c r="O33" i="1"/>
  <c r="L33" i="1"/>
  <c r="I33" i="1"/>
  <c r="S32" i="1"/>
  <c r="O32" i="1"/>
  <c r="L32" i="1"/>
  <c r="I32" i="1"/>
  <c r="S31" i="1"/>
  <c r="O31" i="1"/>
  <c r="L31" i="1"/>
  <c r="I31" i="1"/>
  <c r="S30" i="1"/>
  <c r="O30" i="1"/>
  <c r="L30" i="1"/>
  <c r="I30" i="1"/>
  <c r="S29" i="1"/>
  <c r="O29" i="1"/>
  <c r="L29" i="1"/>
  <c r="I29" i="1"/>
  <c r="S249" i="1"/>
  <c r="O249" i="1"/>
  <c r="L249" i="1"/>
  <c r="I249" i="1"/>
  <c r="S239" i="1"/>
  <c r="O239" i="1"/>
  <c r="L239" i="1"/>
  <c r="I239" i="1"/>
  <c r="S236" i="1"/>
  <c r="O236" i="1"/>
  <c r="L236" i="1"/>
  <c r="I236" i="1"/>
  <c r="S224" i="1"/>
  <c r="O224" i="1"/>
  <c r="L224" i="1"/>
  <c r="I224" i="1"/>
  <c r="S221" i="1"/>
  <c r="O221" i="1"/>
  <c r="L221" i="1"/>
  <c r="I221" i="1"/>
  <c r="S219" i="1"/>
  <c r="O219" i="1"/>
  <c r="L219" i="1"/>
  <c r="I219" i="1"/>
  <c r="S218" i="1"/>
  <c r="O218" i="1"/>
  <c r="L218" i="1"/>
  <c r="I218" i="1"/>
  <c r="S215" i="1"/>
  <c r="O215" i="1"/>
  <c r="L215" i="1"/>
  <c r="I215" i="1"/>
  <c r="S211" i="1"/>
  <c r="O211" i="1"/>
  <c r="L211" i="1"/>
  <c r="I211" i="1"/>
  <c r="S210" i="1"/>
  <c r="O210" i="1"/>
  <c r="L210" i="1"/>
  <c r="I210" i="1"/>
  <c r="S207" i="1"/>
  <c r="O207" i="1"/>
  <c r="L207" i="1"/>
  <c r="I207" i="1"/>
  <c r="S118" i="1"/>
  <c r="O118" i="1"/>
  <c r="L118" i="1"/>
  <c r="I118" i="1"/>
  <c r="S117" i="1"/>
  <c r="O117" i="1"/>
  <c r="L117" i="1"/>
  <c r="I117" i="1"/>
  <c r="S116" i="1"/>
  <c r="O116" i="1"/>
  <c r="L116" i="1"/>
  <c r="I116" i="1"/>
  <c r="S302" i="1"/>
  <c r="O302" i="1"/>
  <c r="L302" i="1"/>
  <c r="I302" i="1"/>
  <c r="S294" i="1"/>
  <c r="O294" i="1"/>
  <c r="L294" i="1"/>
  <c r="I294" i="1"/>
  <c r="S282" i="1"/>
  <c r="O282" i="1"/>
  <c r="L282" i="1"/>
  <c r="I282" i="1"/>
  <c r="S280" i="1"/>
  <c r="O280" i="1"/>
  <c r="L280" i="1"/>
  <c r="I280" i="1"/>
  <c r="S279" i="1"/>
  <c r="O279" i="1"/>
  <c r="L279" i="1"/>
  <c r="I279" i="1"/>
  <c r="S277" i="1"/>
  <c r="O277" i="1"/>
  <c r="L277" i="1"/>
  <c r="I277" i="1"/>
  <c r="S276" i="1"/>
  <c r="O276" i="1"/>
  <c r="L276" i="1"/>
  <c r="I276" i="1"/>
  <c r="S275" i="1"/>
  <c r="O275" i="1"/>
  <c r="L275" i="1"/>
  <c r="I275" i="1"/>
  <c r="S273" i="1"/>
  <c r="O273" i="1"/>
  <c r="L273" i="1"/>
  <c r="I273" i="1"/>
  <c r="S272" i="1"/>
  <c r="O272" i="1"/>
  <c r="L272" i="1"/>
  <c r="I272" i="1"/>
  <c r="S271" i="1"/>
  <c r="O271" i="1"/>
  <c r="L271" i="1"/>
  <c r="I271" i="1"/>
  <c r="S270" i="1"/>
  <c r="O270" i="1"/>
  <c r="L270" i="1"/>
  <c r="I270" i="1"/>
  <c r="S269" i="1"/>
  <c r="O269" i="1"/>
  <c r="L269" i="1"/>
  <c r="I269" i="1"/>
  <c r="S268" i="1"/>
  <c r="O268" i="1"/>
  <c r="L268" i="1"/>
  <c r="I268" i="1"/>
  <c r="S267" i="1"/>
  <c r="O267" i="1"/>
  <c r="L267" i="1"/>
  <c r="I267" i="1"/>
  <c r="S266" i="1"/>
  <c r="O266" i="1"/>
  <c r="L266" i="1"/>
  <c r="I266" i="1"/>
  <c r="S265" i="1"/>
  <c r="O265" i="1"/>
  <c r="L265" i="1"/>
  <c r="I265" i="1"/>
  <c r="S264" i="1"/>
  <c r="O264" i="1"/>
  <c r="L264" i="1"/>
  <c r="I264" i="1"/>
  <c r="S135" i="1"/>
  <c r="O135" i="1"/>
  <c r="L135" i="1"/>
  <c r="I135" i="1"/>
  <c r="S290" i="1"/>
  <c r="O290" i="1"/>
  <c r="L290" i="1"/>
  <c r="I290" i="1"/>
  <c r="S131" i="1"/>
  <c r="O131" i="1"/>
  <c r="L131" i="1"/>
  <c r="I131" i="1"/>
  <c r="S66" i="1"/>
  <c r="O66" i="1"/>
  <c r="L66" i="1"/>
  <c r="I66" i="1"/>
  <c r="S65" i="1"/>
  <c r="O65" i="1"/>
  <c r="L65" i="1"/>
  <c r="I65" i="1"/>
  <c r="S64" i="1"/>
  <c r="O64" i="1"/>
  <c r="L64" i="1"/>
  <c r="I64" i="1"/>
  <c r="S63" i="1"/>
  <c r="O63" i="1"/>
  <c r="L63" i="1"/>
  <c r="I63" i="1"/>
  <c r="S61" i="1"/>
  <c r="O61" i="1"/>
  <c r="L61" i="1"/>
  <c r="I61" i="1"/>
  <c r="S60" i="1"/>
  <c r="O60" i="1"/>
  <c r="L60" i="1"/>
  <c r="I60" i="1"/>
  <c r="S59" i="1"/>
  <c r="O59" i="1"/>
  <c r="L59" i="1"/>
  <c r="I59" i="1"/>
  <c r="S58" i="1"/>
  <c r="O58" i="1"/>
  <c r="L58" i="1"/>
  <c r="I58" i="1"/>
  <c r="S57" i="1"/>
  <c r="O57" i="1"/>
  <c r="L57" i="1"/>
  <c r="I57" i="1"/>
  <c r="S56" i="1"/>
  <c r="O56" i="1"/>
  <c r="L56" i="1"/>
  <c r="I56" i="1"/>
  <c r="S55" i="1"/>
  <c r="O55" i="1"/>
  <c r="L55" i="1"/>
  <c r="I55" i="1"/>
  <c r="S53" i="1"/>
  <c r="O53" i="1"/>
  <c r="L53" i="1"/>
  <c r="I53" i="1"/>
  <c r="S52" i="1"/>
  <c r="O52" i="1"/>
  <c r="L52" i="1"/>
  <c r="I52" i="1"/>
  <c r="S51" i="1"/>
  <c r="O51" i="1"/>
  <c r="L51" i="1"/>
  <c r="I51" i="1"/>
  <c r="S50" i="1"/>
  <c r="O50" i="1"/>
  <c r="L50" i="1"/>
  <c r="I50" i="1"/>
  <c r="S49" i="1"/>
  <c r="O49" i="1"/>
  <c r="L49" i="1"/>
  <c r="I49" i="1"/>
  <c r="S48" i="1"/>
  <c r="O48" i="1"/>
  <c r="L48" i="1"/>
  <c r="I48" i="1"/>
  <c r="S47" i="1"/>
  <c r="O47" i="1"/>
  <c r="L47" i="1"/>
  <c r="I47" i="1"/>
  <c r="S46" i="1"/>
  <c r="O46" i="1"/>
  <c r="L46" i="1"/>
  <c r="I46" i="1"/>
  <c r="S45" i="1"/>
  <c r="O45" i="1"/>
  <c r="L45" i="1"/>
  <c r="I45" i="1"/>
  <c r="S44" i="1"/>
  <c r="O44" i="1"/>
  <c r="L44" i="1"/>
  <c r="I44" i="1"/>
  <c r="S254" i="1"/>
  <c r="O254" i="1"/>
  <c r="L254" i="1"/>
  <c r="I254" i="1"/>
  <c r="S253" i="1"/>
  <c r="O253" i="1"/>
  <c r="L253" i="1"/>
  <c r="I253" i="1"/>
  <c r="S248" i="1"/>
  <c r="O248" i="1"/>
  <c r="L248" i="1"/>
  <c r="I248" i="1"/>
  <c r="S246" i="1"/>
  <c r="O246" i="1"/>
  <c r="L246" i="1"/>
  <c r="I246" i="1"/>
  <c r="S233" i="1"/>
  <c r="O233" i="1"/>
  <c r="L233" i="1"/>
  <c r="I233" i="1"/>
  <c r="S121" i="1"/>
  <c r="O121" i="1"/>
  <c r="L121" i="1"/>
  <c r="I121" i="1"/>
  <c r="S119" i="1"/>
  <c r="O119" i="1"/>
  <c r="L119" i="1"/>
  <c r="I119" i="1"/>
  <c r="S115" i="1"/>
  <c r="O115" i="1"/>
  <c r="L115" i="1"/>
  <c r="I115" i="1"/>
  <c r="S112" i="1"/>
  <c r="O112" i="1"/>
  <c r="L112" i="1"/>
  <c r="I112" i="1"/>
  <c r="S111" i="1"/>
  <c r="O111" i="1"/>
  <c r="L111" i="1"/>
  <c r="I111" i="1"/>
  <c r="S109" i="1"/>
  <c r="O109" i="1"/>
  <c r="L109" i="1"/>
  <c r="I109" i="1"/>
  <c r="S108" i="1"/>
  <c r="O108" i="1"/>
  <c r="L108" i="1"/>
  <c r="I108" i="1"/>
  <c r="S106" i="1"/>
  <c r="O106" i="1"/>
  <c r="L106" i="1"/>
  <c r="I106" i="1"/>
  <c r="S105" i="1"/>
  <c r="O105" i="1"/>
  <c r="L105" i="1"/>
  <c r="I105" i="1"/>
  <c r="S104" i="1"/>
  <c r="O104" i="1"/>
  <c r="L104" i="1"/>
  <c r="I104" i="1"/>
  <c r="S103" i="1"/>
  <c r="O103" i="1"/>
  <c r="L103" i="1"/>
  <c r="I103" i="1"/>
  <c r="S102" i="1"/>
  <c r="O102" i="1"/>
  <c r="L102" i="1"/>
  <c r="I102" i="1"/>
  <c r="S123" i="1"/>
  <c r="O123" i="1"/>
  <c r="L123" i="1"/>
  <c r="I123" i="1"/>
  <c r="S120" i="1"/>
  <c r="O120" i="1"/>
  <c r="L120" i="1"/>
  <c r="I120" i="1"/>
  <c r="S101" i="1"/>
  <c r="O101" i="1"/>
  <c r="L101" i="1"/>
  <c r="I101" i="1"/>
  <c r="S100" i="1"/>
  <c r="O100" i="1"/>
  <c r="L100" i="1"/>
  <c r="I100" i="1"/>
  <c r="S99" i="1"/>
  <c r="O99" i="1"/>
  <c r="L99" i="1"/>
  <c r="I99" i="1"/>
  <c r="S98" i="1"/>
  <c r="O98" i="1"/>
  <c r="L98" i="1"/>
  <c r="I98" i="1"/>
  <c r="S97" i="1"/>
  <c r="O97" i="1"/>
  <c r="L97" i="1"/>
  <c r="I97" i="1"/>
  <c r="S96" i="1"/>
  <c r="O96" i="1"/>
  <c r="L96" i="1"/>
  <c r="I96" i="1"/>
  <c r="S95" i="1"/>
  <c r="O95" i="1"/>
  <c r="L95" i="1"/>
  <c r="I95" i="1"/>
  <c r="S94" i="1"/>
  <c r="O94" i="1"/>
  <c r="L94" i="1"/>
  <c r="I94" i="1"/>
  <c r="S93" i="1"/>
  <c r="O93" i="1"/>
  <c r="L93" i="1"/>
  <c r="I93" i="1"/>
  <c r="S92" i="1"/>
  <c r="O92" i="1"/>
  <c r="L92" i="1"/>
  <c r="I92" i="1"/>
  <c r="S91" i="1"/>
  <c r="O91" i="1"/>
  <c r="L91" i="1"/>
  <c r="I91" i="1"/>
  <c r="S90" i="1"/>
  <c r="O90" i="1"/>
  <c r="L90" i="1"/>
  <c r="I90" i="1"/>
  <c r="S89" i="1"/>
  <c r="O89" i="1"/>
  <c r="L89" i="1"/>
  <c r="I89" i="1"/>
  <c r="S88" i="1"/>
  <c r="O88" i="1"/>
  <c r="L88" i="1"/>
  <c r="I88" i="1"/>
  <c r="S167" i="1"/>
  <c r="O167" i="1"/>
  <c r="L167" i="1"/>
  <c r="I167" i="1"/>
  <c r="S166" i="1"/>
  <c r="O166" i="1"/>
  <c r="L166" i="1"/>
  <c r="I166" i="1"/>
  <c r="S165" i="1"/>
  <c r="O165" i="1"/>
  <c r="L165" i="1"/>
  <c r="I165" i="1"/>
  <c r="S164" i="1"/>
  <c r="O164" i="1"/>
  <c r="L164" i="1"/>
  <c r="I164" i="1"/>
  <c r="S163" i="1"/>
  <c r="O163" i="1"/>
  <c r="U83" i="1" s="1"/>
  <c r="L163" i="1"/>
  <c r="I163" i="1"/>
  <c r="S161" i="1"/>
  <c r="O161" i="1"/>
  <c r="L161" i="1"/>
  <c r="I161" i="1"/>
  <c r="S160" i="1"/>
  <c r="O160" i="1"/>
  <c r="L160" i="1"/>
  <c r="I160" i="1"/>
  <c r="S159" i="1"/>
  <c r="O159" i="1"/>
  <c r="L159" i="1"/>
  <c r="I159" i="1"/>
  <c r="S158" i="1"/>
  <c r="O158" i="1"/>
  <c r="L158" i="1"/>
  <c r="I158" i="1"/>
  <c r="S152" i="1"/>
  <c r="O152" i="1"/>
  <c r="L152" i="1"/>
  <c r="I152" i="1"/>
  <c r="S151" i="1"/>
  <c r="O151" i="1"/>
  <c r="U77" i="1" s="1"/>
  <c r="L151" i="1"/>
  <c r="I151" i="1"/>
  <c r="S150" i="1"/>
  <c r="O150" i="1"/>
  <c r="L150" i="1"/>
  <c r="I150" i="1"/>
  <c r="S149" i="1"/>
  <c r="O149" i="1"/>
  <c r="L149" i="1"/>
  <c r="I149" i="1"/>
  <c r="S179" i="1"/>
  <c r="O179" i="1"/>
  <c r="L179" i="1"/>
  <c r="I179" i="1"/>
  <c r="S177" i="1"/>
  <c r="O177" i="1"/>
  <c r="L177" i="1"/>
  <c r="I177" i="1"/>
  <c r="S176" i="1"/>
  <c r="O176" i="1"/>
  <c r="L176" i="1"/>
  <c r="I176" i="1"/>
  <c r="S175" i="1"/>
  <c r="O175" i="1"/>
  <c r="L175" i="1"/>
  <c r="I175" i="1"/>
  <c r="S174" i="1"/>
  <c r="O174" i="1"/>
  <c r="L174" i="1"/>
  <c r="I174" i="1"/>
  <c r="S173" i="1"/>
  <c r="O173" i="1"/>
  <c r="U68" i="1" s="1"/>
  <c r="L173" i="1"/>
  <c r="I173" i="1"/>
  <c r="S172" i="1"/>
  <c r="O172" i="1"/>
  <c r="L172" i="1"/>
  <c r="I172" i="1"/>
  <c r="S171" i="1"/>
  <c r="O171" i="1"/>
  <c r="L171" i="1"/>
  <c r="I171" i="1"/>
  <c r="S170" i="1"/>
  <c r="O170" i="1"/>
  <c r="L170" i="1"/>
  <c r="I170" i="1"/>
  <c r="S169" i="1"/>
  <c r="O169" i="1"/>
  <c r="L169" i="1"/>
  <c r="I169" i="1"/>
  <c r="S136" i="1"/>
  <c r="O136" i="1"/>
  <c r="L136" i="1"/>
  <c r="I136" i="1"/>
  <c r="S133" i="1"/>
  <c r="O133" i="1"/>
  <c r="L133" i="1"/>
  <c r="I133" i="1"/>
  <c r="S132" i="1"/>
  <c r="O132" i="1"/>
  <c r="L132" i="1"/>
  <c r="I132" i="1"/>
  <c r="S138" i="1"/>
  <c r="O138" i="1"/>
  <c r="L138" i="1"/>
  <c r="I138" i="1"/>
  <c r="S178" i="1"/>
  <c r="O178" i="1"/>
  <c r="L178" i="1"/>
  <c r="I178" i="1"/>
  <c r="S140" i="1"/>
  <c r="O140" i="1"/>
  <c r="L140" i="1"/>
  <c r="I140" i="1"/>
  <c r="S139" i="1"/>
  <c r="O139" i="1"/>
  <c r="L139" i="1"/>
  <c r="I139" i="1"/>
  <c r="S134" i="1"/>
  <c r="O134" i="1"/>
  <c r="L134" i="1"/>
  <c r="I134" i="1"/>
  <c r="S130" i="1"/>
  <c r="O130" i="1"/>
  <c r="L130" i="1"/>
  <c r="I130" i="1"/>
  <c r="S129" i="1"/>
  <c r="O129" i="1"/>
  <c r="L129" i="1"/>
  <c r="I129" i="1"/>
  <c r="S128" i="1"/>
  <c r="O128" i="1"/>
  <c r="U54" i="1" s="1"/>
  <c r="L128" i="1"/>
  <c r="I128" i="1"/>
  <c r="S127" i="1"/>
  <c r="O127" i="1"/>
  <c r="L127" i="1"/>
  <c r="I127" i="1"/>
  <c r="S126" i="1"/>
  <c r="O126" i="1"/>
  <c r="U52" i="1" s="1"/>
  <c r="L126" i="1"/>
  <c r="I126" i="1"/>
  <c r="S125" i="1"/>
  <c r="O125" i="1"/>
  <c r="L125" i="1"/>
  <c r="I125" i="1"/>
  <c r="S41" i="1"/>
  <c r="O41" i="1"/>
  <c r="L41" i="1"/>
  <c r="I41" i="1"/>
  <c r="S27" i="1"/>
  <c r="O27" i="1"/>
  <c r="L27" i="1"/>
  <c r="I27" i="1"/>
  <c r="S26" i="1"/>
  <c r="O26" i="1"/>
  <c r="L26" i="1"/>
  <c r="I26" i="1"/>
  <c r="S25" i="1"/>
  <c r="O25" i="1"/>
  <c r="L25" i="1"/>
  <c r="I25" i="1"/>
  <c r="S24" i="1"/>
  <c r="O24" i="1"/>
  <c r="L24" i="1"/>
  <c r="I24" i="1"/>
  <c r="S23" i="1"/>
  <c r="O23" i="1"/>
  <c r="L23" i="1"/>
  <c r="I23" i="1"/>
  <c r="S22" i="1"/>
  <c r="O22" i="1"/>
  <c r="L22" i="1"/>
  <c r="I22" i="1"/>
  <c r="S21" i="1"/>
  <c r="O21" i="1"/>
  <c r="L21" i="1"/>
  <c r="I21" i="1"/>
  <c r="S20" i="1"/>
  <c r="O20" i="1"/>
  <c r="L20" i="1"/>
  <c r="I20" i="1"/>
  <c r="S17" i="1"/>
  <c r="O17" i="1"/>
  <c r="U41" i="1" s="1"/>
  <c r="L17" i="1"/>
  <c r="I17" i="1"/>
  <c r="S14" i="1"/>
  <c r="O14" i="1"/>
  <c r="U40" i="1" s="1"/>
  <c r="L14" i="1"/>
  <c r="I14" i="1"/>
  <c r="S13" i="1"/>
  <c r="O13" i="1"/>
  <c r="L13" i="1"/>
  <c r="I13" i="1"/>
  <c r="S12" i="1"/>
  <c r="O12" i="1"/>
  <c r="L12" i="1"/>
  <c r="I12" i="1"/>
  <c r="S11" i="1"/>
  <c r="O11" i="1"/>
  <c r="L11" i="1"/>
  <c r="I11" i="1"/>
  <c r="S10" i="1"/>
  <c r="O10" i="1"/>
  <c r="L10" i="1"/>
  <c r="I10" i="1"/>
  <c r="S9" i="1"/>
  <c r="O9" i="1"/>
  <c r="U35" i="1" s="1"/>
  <c r="L9" i="1"/>
  <c r="I9" i="1"/>
  <c r="S8" i="1"/>
  <c r="O8" i="1"/>
  <c r="U34" i="1" s="1"/>
  <c r="L8" i="1"/>
  <c r="I8" i="1"/>
  <c r="S7" i="1"/>
  <c r="O7" i="1"/>
  <c r="L7" i="1"/>
  <c r="I7" i="1"/>
  <c r="S6" i="1"/>
  <c r="O6" i="1"/>
  <c r="L6" i="1"/>
  <c r="I6" i="1"/>
  <c r="S5" i="1"/>
  <c r="O5" i="1"/>
  <c r="L5" i="1"/>
  <c r="I5" i="1"/>
  <c r="S4" i="1"/>
  <c r="O4" i="1"/>
  <c r="L4" i="1"/>
  <c r="I4" i="1"/>
  <c r="S3" i="1"/>
  <c r="O3" i="1"/>
  <c r="L3" i="1"/>
  <c r="I3" i="1"/>
  <c r="S2" i="1"/>
  <c r="O2" i="1"/>
  <c r="L2" i="1"/>
  <c r="I2" i="1"/>
  <c r="S202" i="1"/>
  <c r="O202" i="1"/>
  <c r="L202" i="1"/>
  <c r="I202" i="1"/>
  <c r="S201" i="1"/>
  <c r="O201" i="1"/>
  <c r="L201" i="1"/>
  <c r="I201" i="1"/>
  <c r="S200" i="1"/>
  <c r="O200" i="1"/>
  <c r="L200" i="1"/>
  <c r="I200" i="1"/>
  <c r="S162" i="1"/>
  <c r="O162" i="1"/>
  <c r="L162" i="1"/>
  <c r="I162" i="1"/>
  <c r="S184" i="1"/>
  <c r="O184" i="1"/>
  <c r="L184" i="1"/>
  <c r="I184" i="1"/>
  <c r="S183" i="1"/>
  <c r="O183" i="1"/>
  <c r="L183" i="1"/>
  <c r="I183" i="1"/>
  <c r="S182" i="1"/>
  <c r="O182" i="1"/>
  <c r="L182" i="1"/>
  <c r="I182" i="1"/>
  <c r="S168" i="1"/>
  <c r="O168" i="1"/>
  <c r="L168" i="1"/>
  <c r="I168" i="1"/>
  <c r="S157" i="1"/>
  <c r="O157" i="1"/>
  <c r="L157" i="1"/>
  <c r="I157" i="1"/>
  <c r="S156" i="1"/>
  <c r="O156" i="1"/>
  <c r="L156" i="1"/>
  <c r="I156" i="1"/>
  <c r="S155" i="1"/>
  <c r="O155" i="1"/>
  <c r="L155" i="1"/>
  <c r="I155" i="1"/>
  <c r="S153" i="1"/>
  <c r="O153" i="1"/>
  <c r="L153" i="1"/>
  <c r="I153" i="1"/>
  <c r="S191" i="1"/>
  <c r="O191" i="1"/>
  <c r="L191" i="1"/>
  <c r="I191" i="1"/>
  <c r="S193" i="1"/>
  <c r="O193" i="1"/>
  <c r="L193" i="1"/>
  <c r="I193" i="1"/>
  <c r="S189" i="1"/>
  <c r="O189" i="1"/>
  <c r="L189" i="1"/>
  <c r="I189" i="1"/>
  <c r="S188" i="1"/>
  <c r="O188" i="1"/>
  <c r="L188" i="1"/>
  <c r="I188" i="1"/>
  <c r="S110" i="1"/>
  <c r="O110" i="1"/>
  <c r="L110" i="1"/>
  <c r="I110" i="1"/>
  <c r="S87" i="1"/>
  <c r="O87" i="1"/>
  <c r="L87" i="1"/>
  <c r="I87" i="1"/>
  <c r="S86" i="1"/>
  <c r="O86" i="1"/>
  <c r="L86" i="1"/>
  <c r="I86" i="1"/>
  <c r="S85" i="1"/>
  <c r="O85" i="1"/>
  <c r="L85" i="1"/>
  <c r="I85" i="1"/>
  <c r="S82" i="1"/>
  <c r="O82" i="1"/>
  <c r="L82" i="1"/>
  <c r="I82" i="1"/>
  <c r="S81" i="1"/>
  <c r="O81" i="1"/>
  <c r="L81" i="1"/>
  <c r="I81" i="1"/>
  <c r="S80" i="1"/>
  <c r="O80" i="1"/>
  <c r="L80" i="1"/>
  <c r="I80" i="1"/>
  <c r="S79" i="1"/>
  <c r="O79" i="1"/>
  <c r="L79" i="1"/>
  <c r="I79" i="1"/>
  <c r="S38" i="1"/>
  <c r="O38" i="1"/>
  <c r="L38" i="1"/>
  <c r="I38" i="1"/>
  <c r="S37" i="1"/>
  <c r="O37" i="1"/>
  <c r="L37" i="1"/>
  <c r="I37" i="1"/>
  <c r="U38" i="1" l="1"/>
  <c r="U79" i="1"/>
  <c r="U80" i="1"/>
  <c r="U82" i="1"/>
  <c r="U36" i="1"/>
  <c r="U174" i="1"/>
  <c r="U47" i="1"/>
  <c r="U70" i="1"/>
  <c r="U39" i="1"/>
  <c r="U37" i="1"/>
  <c r="U69" i="1"/>
  <c r="U76" i="1"/>
  <c r="U145" i="1"/>
  <c r="U42" i="1"/>
  <c r="U30" i="1"/>
  <c r="U45" i="1"/>
  <c r="U48" i="1"/>
  <c r="U51" i="1"/>
  <c r="U75" i="1"/>
  <c r="U78" i="1"/>
  <c r="U84" i="1"/>
  <c r="U87" i="1"/>
  <c r="U138" i="1"/>
  <c r="U147" i="1"/>
  <c r="U99" i="1"/>
  <c r="U135" i="1"/>
  <c r="U148" i="1"/>
  <c r="U213" i="1"/>
  <c r="U33" i="1"/>
  <c r="U50" i="1"/>
  <c r="U32" i="1"/>
  <c r="U129" i="1"/>
  <c r="U81" i="1"/>
  <c r="U123" i="1"/>
  <c r="U202" i="1"/>
  <c r="U210" i="1"/>
  <c r="U224" i="1"/>
  <c r="U199" i="1"/>
  <c r="U28" i="1"/>
  <c r="U31" i="1"/>
  <c r="U43" i="1"/>
  <c r="U46" i="1"/>
  <c r="U49" i="1"/>
  <c r="U55" i="1"/>
  <c r="U85" i="1"/>
  <c r="U88" i="1"/>
  <c r="U100" i="1"/>
  <c r="U127" i="1"/>
  <c r="U130" i="1"/>
  <c r="U29" i="1"/>
  <c r="U44" i="1"/>
  <c r="U53" i="1"/>
  <c r="U56" i="1"/>
  <c r="U86" i="1"/>
  <c r="U98" i="1"/>
  <c r="U216" i="1"/>
  <c r="U234" i="1"/>
  <c r="U101" i="1"/>
  <c r="U128" i="1"/>
  <c r="U131" i="1"/>
  <c r="U134" i="1"/>
  <c r="U146" i="1"/>
  <c r="U225" i="1"/>
  <c r="U154" i="1"/>
  <c r="U149" i="1"/>
  <c r="U191" i="1"/>
  <c r="U153" i="1"/>
  <c r="U124" i="1"/>
  <c r="U190" i="1"/>
  <c r="U90" i="1"/>
  <c r="U104" i="1"/>
  <c r="U22" i="1"/>
  <c r="U73" i="1"/>
  <c r="U65" i="1"/>
  <c r="U93" i="1"/>
  <c r="U96" i="1"/>
  <c r="U113" i="1"/>
  <c r="U103" i="1"/>
  <c r="U126" i="1"/>
  <c r="U143" i="1"/>
  <c r="U155" i="1"/>
  <c r="U62" i="1"/>
  <c r="U60" i="1"/>
  <c r="U72" i="1"/>
  <c r="U107" i="1"/>
  <c r="U133" i="1"/>
  <c r="U150" i="1"/>
  <c r="U156" i="1"/>
  <c r="U151" i="1"/>
  <c r="U157" i="1"/>
  <c r="U152" i="1"/>
  <c r="U61" i="1"/>
  <c r="U66" i="1"/>
  <c r="U139" i="1"/>
  <c r="U59" i="1"/>
  <c r="U58" i="1"/>
  <c r="U71" i="1"/>
  <c r="U106" i="1"/>
  <c r="U109" i="1"/>
  <c r="U112" i="1"/>
  <c r="U132" i="1"/>
  <c r="U63" i="1"/>
  <c r="U57" i="1"/>
  <c r="U64" i="1"/>
  <c r="U67" i="1"/>
  <c r="U74" i="1"/>
  <c r="U217" i="1"/>
  <c r="U17" i="1"/>
  <c r="U141" i="1"/>
  <c r="U136" i="1"/>
  <c r="U121" i="1"/>
  <c r="U122" i="1"/>
  <c r="U125" i="1"/>
  <c r="U137" i="1"/>
  <c r="U140" i="1"/>
  <c r="U144" i="1"/>
  <c r="U142" i="1"/>
  <c r="U19" i="1"/>
  <c r="U92" i="1"/>
  <c r="U95" i="1"/>
  <c r="U108" i="1"/>
  <c r="U91" i="1"/>
  <c r="U94" i="1"/>
  <c r="U97" i="1"/>
  <c r="U115" i="1"/>
  <c r="U110" i="1"/>
  <c r="U114" i="1"/>
  <c r="U118" i="1"/>
  <c r="U120" i="1"/>
  <c r="U89" i="1"/>
  <c r="U102" i="1"/>
  <c r="U105" i="1"/>
  <c r="U111" i="1"/>
  <c r="U116" i="1"/>
  <c r="U119" i="1"/>
  <c r="U117" i="1"/>
  <c r="U18" i="1"/>
  <c r="U189" i="1"/>
  <c r="U186" i="1"/>
  <c r="U21" i="1"/>
  <c r="U26" i="1"/>
  <c r="U23" i="1"/>
  <c r="U24" i="1"/>
  <c r="U27" i="1"/>
  <c r="U20" i="1"/>
  <c r="U25" i="1"/>
  <c r="U16" i="1"/>
  <c r="U8" i="1"/>
  <c r="U227" i="1"/>
  <c r="U4" i="1"/>
  <c r="U270" i="1"/>
  <c r="U2" i="1"/>
  <c r="U226" i="1"/>
  <c r="U223" i="1"/>
  <c r="U201" i="1"/>
  <c r="U3" i="1"/>
  <c r="U188" i="1"/>
  <c r="U185" i="1"/>
  <c r="U232" i="1"/>
  <c r="U215" i="1"/>
  <c r="U269" i="1"/>
  <c r="U7" i="1"/>
  <c r="U10" i="1"/>
  <c r="U13" i="1"/>
  <c r="U158" i="1"/>
  <c r="U161" i="1"/>
  <c r="U164" i="1"/>
  <c r="U167" i="1"/>
  <c r="U170" i="1"/>
  <c r="U173" i="1"/>
  <c r="U177" i="1"/>
  <c r="U180" i="1"/>
  <c r="U183" i="1"/>
  <c r="U204" i="1"/>
  <c r="U235" i="1"/>
  <c r="U242" i="1"/>
  <c r="U245" i="1"/>
  <c r="U248" i="1"/>
  <c r="U5" i="1"/>
  <c r="U194" i="1"/>
  <c r="U197" i="1"/>
  <c r="U205" i="1"/>
  <c r="U208" i="1"/>
  <c r="U214" i="1"/>
  <c r="U218" i="1"/>
  <c r="U221" i="1"/>
  <c r="U229" i="1"/>
  <c r="U238" i="1"/>
  <c r="U259" i="1"/>
  <c r="U262" i="1"/>
  <c r="U187" i="1"/>
  <c r="U200" i="1"/>
  <c r="U193" i="1"/>
  <c r="U196" i="1"/>
  <c r="U207" i="1"/>
  <c r="U220" i="1"/>
  <c r="U228" i="1"/>
  <c r="U231" i="1"/>
  <c r="U237" i="1"/>
  <c r="U258" i="1"/>
  <c r="U261" i="1"/>
  <c r="U264" i="1"/>
  <c r="U254" i="1"/>
  <c r="U257" i="1"/>
  <c r="U267" i="1"/>
  <c r="U271" i="1"/>
  <c r="U274" i="1"/>
  <c r="U284" i="1"/>
  <c r="U251" i="1"/>
  <c r="U278" i="1"/>
  <c r="U281" i="1"/>
  <c r="U293" i="1"/>
  <c r="U255" i="1"/>
  <c r="U265" i="1"/>
  <c r="U268" i="1"/>
  <c r="U272" i="1"/>
  <c r="U279" i="1"/>
  <c r="U276" i="1"/>
  <c r="U249" i="1"/>
  <c r="U295" i="1"/>
  <c r="U11" i="1"/>
  <c r="U285" i="1"/>
  <c r="U6" i="1"/>
  <c r="U12" i="1"/>
  <c r="U160" i="1"/>
  <c r="U163" i="1"/>
  <c r="U166" i="1"/>
  <c r="U175" i="1"/>
  <c r="U294" i="1"/>
  <c r="U176" i="1"/>
  <c r="U179" i="1"/>
  <c r="U182" i="1"/>
  <c r="U195" i="1"/>
  <c r="U198" i="1"/>
  <c r="U203" i="1"/>
  <c r="U206" i="1"/>
  <c r="U209" i="1"/>
  <c r="U212" i="1"/>
  <c r="U219" i="1"/>
  <c r="U222" i="1"/>
  <c r="U233" i="1"/>
  <c r="U236" i="1"/>
  <c r="U241" i="1"/>
  <c r="U244" i="1"/>
  <c r="U247" i="1"/>
  <c r="U239" i="1"/>
  <c r="U260" i="1"/>
  <c r="U263" i="1"/>
  <c r="U250" i="1"/>
  <c r="U253" i="1"/>
  <c r="U256" i="1"/>
  <c r="U266" i="1"/>
  <c r="U273" i="1"/>
  <c r="U277" i="1"/>
  <c r="U280" i="1"/>
  <c r="U283" i="1"/>
  <c r="U286" i="1"/>
  <c r="U297" i="1"/>
  <c r="U299" i="1"/>
  <c r="U296" i="1"/>
  <c r="U287" i="1"/>
  <c r="U290" i="1"/>
  <c r="U15" i="1"/>
  <c r="U159" i="1"/>
  <c r="U162" i="1"/>
  <c r="U165" i="1"/>
  <c r="U168" i="1"/>
  <c r="U171" i="1"/>
  <c r="U178" i="1"/>
  <c r="U181" i="1"/>
  <c r="U184" i="1"/>
  <c r="U192" i="1"/>
  <c r="U211" i="1"/>
  <c r="U230" i="1"/>
  <c r="U240" i="1"/>
  <c r="U243" i="1"/>
  <c r="U246" i="1"/>
  <c r="U252" i="1"/>
  <c r="U275" i="1"/>
  <c r="U282" i="1"/>
  <c r="U292" i="1"/>
  <c r="U9" i="1"/>
  <c r="U14" i="1"/>
  <c r="U172" i="1"/>
  <c r="U169" i="1"/>
  <c r="U301" i="1"/>
  <c r="U291" i="1"/>
  <c r="U300" i="1"/>
  <c r="U288" i="1"/>
  <c r="U298" i="1"/>
  <c r="U302" i="1"/>
  <c r="U289" i="1"/>
</calcChain>
</file>

<file path=xl/sharedStrings.xml><?xml version="1.0" encoding="utf-8"?>
<sst xmlns="http://schemas.openxmlformats.org/spreadsheetml/2006/main" count="2184" uniqueCount="96">
  <si>
    <t>Zeilenbeschriftungen</t>
  </si>
  <si>
    <t>Summe von Stopps Zustellung/AT ab 01.01.2026</t>
  </si>
  <si>
    <t>Summe von Stopps Abholung AT / April</t>
  </si>
  <si>
    <t>Summe von Angenommen Gesamtstopps ab 01.01.2026</t>
  </si>
  <si>
    <t>A</t>
  </si>
  <si>
    <t>A_1</t>
  </si>
  <si>
    <t>B</t>
  </si>
  <si>
    <t>B_1</t>
  </si>
  <si>
    <t>C</t>
  </si>
  <si>
    <t>C_1</t>
  </si>
  <si>
    <t>D</t>
  </si>
  <si>
    <t>D_1</t>
  </si>
  <si>
    <t>D_2</t>
  </si>
  <si>
    <t>E</t>
  </si>
  <si>
    <t>E_0,5</t>
  </si>
  <si>
    <t>E_1</t>
  </si>
  <si>
    <t>F</t>
  </si>
  <si>
    <t>F_1</t>
  </si>
  <si>
    <t>G</t>
  </si>
  <si>
    <t>H</t>
  </si>
  <si>
    <t>I</t>
  </si>
  <si>
    <t>I_1</t>
  </si>
  <si>
    <t>K</t>
  </si>
  <si>
    <t>L</t>
  </si>
  <si>
    <t>M</t>
  </si>
  <si>
    <t>N</t>
  </si>
  <si>
    <t>O</t>
  </si>
  <si>
    <t>O_1</t>
  </si>
  <si>
    <t>P</t>
  </si>
  <si>
    <t>Q</t>
  </si>
  <si>
    <t>Q_1</t>
  </si>
  <si>
    <t>S</t>
  </si>
  <si>
    <t>Gesamtergebnis</t>
  </si>
  <si>
    <t>Tourgebiet</t>
  </si>
  <si>
    <t>Plan Fahrzeuge</t>
  </si>
  <si>
    <t>Relation Neu</t>
  </si>
  <si>
    <t>Tour</t>
  </si>
  <si>
    <t>Unternehmer</t>
  </si>
  <si>
    <t>PLZ</t>
  </si>
  <si>
    <t>Land</t>
  </si>
  <si>
    <t>IDS</t>
  </si>
  <si>
    <t>Stopps Zustellung März</t>
  </si>
  <si>
    <t>Stopps Zustellung AT / März</t>
  </si>
  <si>
    <t>Sendungen Zustellung März</t>
  </si>
  <si>
    <t>Stopps Abholung März</t>
  </si>
  <si>
    <t>Stopps Abholung AT / März</t>
  </si>
  <si>
    <t>Sendungen Abholung März</t>
  </si>
  <si>
    <t>Stopps Zustellung April</t>
  </si>
  <si>
    <t>Stopps Zustellung AT / April</t>
  </si>
  <si>
    <t>Sendungen Zustellung April</t>
  </si>
  <si>
    <t>Stopps Abholung April</t>
  </si>
  <si>
    <t>Sendungen Abholung April</t>
  </si>
  <si>
    <t>Stopps Abholung AT / April</t>
  </si>
  <si>
    <t>Stopps/AT Zusatz ab 01.01.2026</t>
  </si>
  <si>
    <t>Stopps Zustellung/AT ab 01.01.2026</t>
  </si>
  <si>
    <t>N050</t>
  </si>
  <si>
    <t>Bayram</t>
  </si>
  <si>
    <t>DE</t>
  </si>
  <si>
    <t>N350</t>
  </si>
  <si>
    <t>N100</t>
  </si>
  <si>
    <t>N201</t>
  </si>
  <si>
    <t>N203</t>
  </si>
  <si>
    <t>Kalazidis</t>
  </si>
  <si>
    <t>N001</t>
  </si>
  <si>
    <t>BT Transporte</t>
  </si>
  <si>
    <t>N101</t>
  </si>
  <si>
    <t>N450</t>
  </si>
  <si>
    <t>Sahin Transporte</t>
  </si>
  <si>
    <t>N150</t>
  </si>
  <si>
    <t>Blumenstock</t>
  </si>
  <si>
    <t>N151</t>
  </si>
  <si>
    <t>N351</t>
  </si>
  <si>
    <t>AB Transporte</t>
  </si>
  <si>
    <t>N301</t>
  </si>
  <si>
    <t>N400</t>
  </si>
  <si>
    <t>?</t>
  </si>
  <si>
    <t>N103</t>
  </si>
  <si>
    <t>Barone</t>
  </si>
  <si>
    <t>N252</t>
  </si>
  <si>
    <t>Erdem</t>
  </si>
  <si>
    <t>N102</t>
  </si>
  <si>
    <t>N251</t>
  </si>
  <si>
    <t>N250</t>
  </si>
  <si>
    <t>N200</t>
  </si>
  <si>
    <t>N002</t>
  </si>
  <si>
    <t>N500</t>
  </si>
  <si>
    <t>HTM</t>
  </si>
  <si>
    <t>N253</t>
  </si>
  <si>
    <t>V1</t>
  </si>
  <si>
    <t>Gebiet</t>
  </si>
  <si>
    <t>TU</t>
  </si>
  <si>
    <t>frei</t>
  </si>
  <si>
    <t>TS Transporte</t>
  </si>
  <si>
    <t>HTM Transporte</t>
  </si>
  <si>
    <t>NV</t>
  </si>
  <si>
    <t>Naverkehr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</si>
</sst>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8" tint="0.79998168889431442"/>
        <bgColor indexed="64"/>
      </patternFill>
    </fill>
  </fills>
  <borders count="4">
    <border>
      <left/>
      <right/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/>
      <bottom style="thin">
        <color theme="4" tint="0.39997558519241921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0" fillId="0" borderId="0" xfId="0" applyAlignment="1">
      <alignment horizontal="center"/>
    </xf>
    <xf numFmtId="2" fontId="0" fillId="2" borderId="1" xfId="0" applyNumberFormat="1" applyFill="1" applyBorder="1" applyAlignment="1">
      <alignment horizontal="center" vertical="center" wrapText="1"/>
    </xf>
    <xf numFmtId="2" fontId="0" fillId="3" borderId="1" xfId="0" applyNumberFormat="1" applyFill="1" applyBorder="1" applyAlignment="1">
      <alignment horizontal="center" vertical="center" wrapText="1"/>
    </xf>
    <xf numFmtId="2" fontId="0" fillId="2" borderId="0" xfId="0" applyNumberFormat="1" applyFill="1"/>
    <xf numFmtId="2" fontId="0" fillId="3" borderId="0" xfId="0" applyNumberFormat="1" applyFill="1"/>
    <xf numFmtId="0" fontId="0" fillId="0" borderId="0" xfId="0" applyAlignment="1">
      <alignment horizontal="left"/>
    </xf>
    <xf numFmtId="2" fontId="0" fillId="0" borderId="0" xfId="0" applyNumberFormat="1"/>
    <xf numFmtId="2" fontId="0" fillId="2" borderId="2" xfId="0" applyNumberFormat="1" applyFill="1" applyBorder="1" applyAlignment="1">
      <alignment horizontal="center" vertical="center" wrapText="1"/>
    </xf>
    <xf numFmtId="0" fontId="0" fillId="0" borderId="0" xfId="0" pivotButton="1" applyAlignment="1">
      <alignment wrapText="1"/>
    </xf>
    <xf numFmtId="0" fontId="0" fillId="0" borderId="0" xfId="0" applyAlignment="1">
      <alignment wrapText="1"/>
    </xf>
    <xf numFmtId="0" fontId="0" fillId="3" borderId="0" xfId="0" applyFill="1" applyAlignment="1">
      <alignment wrapText="1"/>
    </xf>
    <xf numFmtId="0" fontId="0" fillId="4" borderId="0" xfId="0" applyFill="1"/>
    <xf numFmtId="0" fontId="1" fillId="4" borderId="3" xfId="0" applyFont="1" applyFill="1" applyBorder="1" applyAlignment="1">
      <alignment horizontal="center" vertical="center" wrapText="1"/>
    </xf>
    <xf numFmtId="0" fontId="1" fillId="0" borderId="3" xfId="0" applyFont="1" applyBorder="1" applyAlignment="1">
      <alignment horizontal="center" vertical="center" wrapText="1"/>
    </xf>
  </cellXfs>
  <cellStyles count="1">
    <cellStyle name="Standard" xfId="0" builtinId="0"/>
  </cellStyles>
  <dxfs count="5">
    <dxf>
      <numFmt numFmtId="2" formatCode="0.00"/>
    </dxf>
    <dxf>
      <fill>
        <patternFill patternType="solid">
          <bgColor theme="7" tint="0.79998168889431442"/>
        </patternFill>
      </fill>
    </dxf>
    <dxf>
      <fill>
        <patternFill patternType="solid">
          <bgColor theme="7" tint="0.79998168889431442"/>
        </patternFill>
      </fill>
    </dxf>
    <dxf>
      <alignment wrapText="1"/>
    </dxf>
    <dxf>
      <alignment wrapText="1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12" Type="http://schemas.openxmlformats.org/officeDocument/2006/relationships/customXml" Target="../customXml/item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ustomXml" Target="../customXml/item2.xml"/><Relationship Id="rId5" Type="http://schemas.openxmlformats.org/officeDocument/2006/relationships/pivotCacheDefinition" Target="pivotCache/pivotCacheDefinition1.xml"/><Relationship Id="rId10" Type="http://schemas.openxmlformats.org/officeDocument/2006/relationships/customXml" Target="../customXml/item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Meckle Dominik" refreshedDate="45810.590708333337" createdVersion="6" refreshedVersion="6" minRefreshableVersion="3" recordCount="301" xr:uid="{5EEAFFFF-EA82-442F-881D-D1B171526FB4}">
  <cacheSource type="worksheet">
    <worksheetSource ref="A1:U302" sheet="Detaildaten"/>
  </cacheSource>
  <cacheFields count="22">
    <cacheField name="Relation Neu" numFmtId="0">
      <sharedItems/>
    </cacheField>
    <cacheField name="Relation alt" numFmtId="0">
      <sharedItems/>
    </cacheField>
    <cacheField name="Tour" numFmtId="0">
      <sharedItems count="28">
        <s v="A_1"/>
        <s v="A"/>
        <s v="B_1"/>
        <s v="B"/>
        <s v="C_1"/>
        <s v="C"/>
        <s v="D"/>
        <s v="D_1"/>
        <s v="D_2"/>
        <s v="E_1"/>
        <s v="E_0,5"/>
        <s v="E"/>
        <s v="F_1"/>
        <s v="F"/>
        <s v="O"/>
        <s v="G"/>
        <s v="Q_1"/>
        <s v="H"/>
        <s v="I"/>
        <s v="I_1"/>
        <s v="L"/>
        <s v="K"/>
        <s v="M"/>
        <s v="N"/>
        <s v="O_1"/>
        <s v="P"/>
        <s v="Q"/>
        <s v="S"/>
      </sharedItems>
    </cacheField>
    <cacheField name="Unternehmer" numFmtId="0">
      <sharedItems/>
    </cacheField>
    <cacheField name="PLZ" numFmtId="0">
      <sharedItems containsSemiMixedTypes="0" containsString="0" containsNumber="1" containsInteger="1" minValue="70173" maxValue="75449" count="301">
        <n v="71334"/>
        <n v="71336"/>
        <n v="71364"/>
        <n v="73635"/>
        <n v="73642"/>
        <n v="73663"/>
        <n v="73667"/>
        <n v="70734"/>
        <n v="70736"/>
        <n v="71332"/>
        <n v="71397"/>
        <n v="71404"/>
        <n v="71409"/>
        <n v="71686"/>
        <n v="72622"/>
        <n v="72636"/>
        <n v="72644"/>
        <n v="72649"/>
        <n v="72660"/>
        <n v="72669"/>
        <n v="73240"/>
        <n v="73249"/>
        <n v="73257"/>
        <n v="73760"/>
        <n v="73765"/>
        <n v="73770"/>
        <n v="70173"/>
        <n v="70174"/>
        <n v="70176"/>
        <n v="70178"/>
        <n v="70180"/>
        <n v="70182"/>
        <n v="70184"/>
        <n v="70186"/>
        <n v="70188"/>
        <n v="70190"/>
        <n v="70191"/>
        <n v="70192"/>
        <n v="70193"/>
        <n v="70199"/>
        <n v="70372"/>
        <n v="70374"/>
        <n v="70376"/>
        <n v="70378"/>
        <n v="70435"/>
        <n v="70437"/>
        <n v="70439"/>
        <n v="70469"/>
        <n v="70806"/>
        <n v="72070"/>
        <n v="72072"/>
        <n v="72074"/>
        <n v="72076"/>
        <n v="72108"/>
        <n v="72116"/>
        <n v="72124"/>
        <n v="72127"/>
        <n v="72131"/>
        <n v="72138"/>
        <n v="72144"/>
        <n v="72147"/>
        <n v="72149"/>
        <n v="72760"/>
        <n v="72762"/>
        <n v="72764"/>
        <n v="72766"/>
        <n v="72768"/>
        <n v="72770"/>
        <n v="72793"/>
        <n v="72800"/>
        <n v="72805"/>
        <n v="72810"/>
        <n v="72827"/>
        <n v="72555"/>
        <n v="72574"/>
        <n v="72581"/>
        <n v="72585"/>
        <n v="72654"/>
        <n v="72655"/>
        <n v="72657"/>
        <n v="72658"/>
        <n v="72661"/>
        <n v="72663"/>
        <n v="72664"/>
        <n v="72666"/>
        <n v="72667"/>
        <n v="71522"/>
        <n v="71540"/>
        <n v="71543"/>
        <n v="71546"/>
        <n v="71549"/>
        <n v="71554"/>
        <n v="71560"/>
        <n v="71563"/>
        <n v="71566"/>
        <n v="71570"/>
        <n v="71573"/>
        <n v="71576"/>
        <n v="71577"/>
        <n v="71579"/>
        <n v="71634"/>
        <n v="71636"/>
        <n v="71638"/>
        <n v="71640"/>
        <n v="71642"/>
        <n v="71672"/>
        <n v="71679"/>
        <n v="71691"/>
        <n v="71696"/>
        <n v="71711"/>
        <n v="71726"/>
        <n v="71729"/>
        <n v="71732"/>
        <n v="71737"/>
        <n v="74321"/>
        <n v="74379"/>
        <n v="74385"/>
        <n v="74394"/>
        <n v="74395"/>
        <n v="71032"/>
        <n v="71034"/>
        <n v="71063"/>
        <n v="71065"/>
        <n v="71067"/>
        <n v="71069"/>
        <n v="71083"/>
        <n v="71088"/>
        <n v="71093"/>
        <n v="71101"/>
        <n v="71111"/>
        <n v="71116"/>
        <n v="71120"/>
        <n v="71126"/>
        <n v="71131"/>
        <n v="71134"/>
        <n v="71139"/>
        <n v="71149"/>
        <n v="71154"/>
        <n v="71155"/>
        <n v="71157"/>
        <n v="72119"/>
        <n v="72135"/>
        <n v="75392"/>
        <n v="71717"/>
        <n v="71720"/>
        <n v="71723"/>
        <n v="74074"/>
        <n v="74080"/>
        <n v="74081"/>
        <n v="74189"/>
        <n v="74199"/>
        <n v="74223"/>
        <n v="74232"/>
        <n v="74348"/>
        <n v="74360"/>
        <n v="74388"/>
        <n v="70563"/>
        <n v="70565"/>
        <n v="70567"/>
        <n v="70569"/>
        <n v="70597"/>
        <n v="70599"/>
        <n v="70619"/>
        <n v="70629"/>
        <n v="70771"/>
        <n v="70794"/>
        <n v="71144"/>
        <n v="72141"/>
        <n v="72631"/>
        <n v="70195"/>
        <n v="70197"/>
        <n v="70499"/>
        <n v="70839"/>
        <n v="71106"/>
        <n v="71229"/>
        <n v="71263"/>
        <n v="71272"/>
        <n v="71277"/>
        <n v="75233"/>
        <n v="75382"/>
        <n v="75391"/>
        <n v="75395"/>
        <n v="75397"/>
        <n v="75015"/>
        <n v="75038"/>
        <n v="75056"/>
        <n v="75057"/>
        <n v="75059"/>
        <n v="75248"/>
        <n v="75417"/>
        <n v="75428"/>
        <n v="75433"/>
        <n v="75438"/>
        <n v="75443"/>
        <n v="75447"/>
        <n v="70825"/>
        <n v="71254"/>
        <n v="71282"/>
        <n v="71287"/>
        <n v="71292"/>
        <n v="71296"/>
        <n v="71297"/>
        <n v="71299"/>
        <n v="71665"/>
        <n v="71701"/>
        <n v="71706"/>
        <n v="71735"/>
        <n v="71739"/>
        <n v="75446"/>
        <n v="71384"/>
        <n v="71394"/>
        <n v="73614"/>
        <n v="73630"/>
        <n v="73650"/>
        <n v="73666"/>
        <n v="73669"/>
        <n v="70327"/>
        <n v="70329"/>
        <n v="73061"/>
        <n v="73207"/>
        <n v="73262"/>
        <n v="73728"/>
        <n v="73730"/>
        <n v="73732"/>
        <n v="73733"/>
        <n v="73734"/>
        <n v="73773"/>
        <n v="73776"/>
        <n v="73779"/>
        <n v="71159"/>
        <n v="72202"/>
        <n v="72213"/>
        <n v="72218"/>
        <n v="72221"/>
        <n v="72224"/>
        <n v="72226"/>
        <n v="72227"/>
        <n v="72229"/>
        <n v="75328"/>
        <n v="75365"/>
        <n v="75378"/>
        <n v="75385"/>
        <n v="75387"/>
        <n v="75389"/>
        <n v="75394"/>
        <n v="74193"/>
        <n v="74211"/>
        <n v="74226"/>
        <n v="74252"/>
        <n v="74336"/>
        <n v="74343"/>
        <n v="74354"/>
        <n v="74357"/>
        <n v="74363"/>
        <n v="74366"/>
        <n v="74369"/>
        <n v="74372"/>
        <n v="74374"/>
        <n v="74376"/>
        <n v="74382"/>
        <n v="74389"/>
        <n v="74391"/>
        <n v="74392"/>
        <n v="74397"/>
        <n v="74399"/>
        <n v="75031"/>
        <n v="75050"/>
        <n v="74072"/>
        <n v="74076"/>
        <n v="74078"/>
        <n v="74172"/>
        <n v="74177"/>
        <n v="74182"/>
        <n v="74196"/>
        <n v="74206"/>
        <n v="74229"/>
        <n v="74235"/>
        <n v="74245"/>
        <n v="74246"/>
        <n v="74248"/>
        <n v="74251"/>
        <n v="74254"/>
        <n v="74257"/>
        <n v="75172"/>
        <n v="75173"/>
        <n v="75175"/>
        <n v="75177"/>
        <n v="75179"/>
        <n v="75180"/>
        <n v="75181"/>
        <n v="75217"/>
        <n v="75223"/>
        <n v="75228"/>
        <n v="75239"/>
        <n v="75242"/>
        <n v="75245"/>
        <n v="75249"/>
        <n v="75305"/>
        <n v="75331"/>
        <n v="75399"/>
        <n v="75449"/>
      </sharedItems>
    </cacheField>
    <cacheField name="Land" numFmtId="0">
      <sharedItems/>
    </cacheField>
    <cacheField name="IDS" numFmtId="0">
      <sharedItems containsSemiMixedTypes="0" containsString="0" containsNumber="1" containsInteger="1" minValue="7000" maxValue="7000"/>
    </cacheField>
    <cacheField name="Stopps Zustellung März" numFmtId="2">
      <sharedItems containsSemiMixedTypes="0" containsString="0" containsNumber="1" containsInteger="1" minValue="0" maxValue="65"/>
    </cacheField>
    <cacheField name="Stopps Zustellung AT / März" numFmtId="2">
      <sharedItems containsSemiMixedTypes="0" containsString="0" containsNumber="1" minValue="0" maxValue="3.0952380952380953"/>
    </cacheField>
    <cacheField name="Sendungen Zustellung März" numFmtId="2">
      <sharedItems containsSemiMixedTypes="0" containsString="0" containsNumber="1" containsInteger="1" minValue="0" maxValue="68"/>
    </cacheField>
    <cacheField name="Stopps Abholung März" numFmtId="2">
      <sharedItems containsSemiMixedTypes="0" containsString="0" containsNumber="1" containsInteger="1" minValue="0" maxValue="48"/>
    </cacheField>
    <cacheField name="Stopps Abholung AT / März" numFmtId="2">
      <sharedItems containsSemiMixedTypes="0" containsString="0" containsNumber="1" minValue="0" maxValue="2.2857142857142856"/>
    </cacheField>
    <cacheField name="Sendungen Abholung März" numFmtId="2">
      <sharedItems containsSemiMixedTypes="0" containsString="0" containsNumber="1" containsInteger="1" minValue="0" maxValue="1904"/>
    </cacheField>
    <cacheField name="Stopps Zustellung April" numFmtId="2">
      <sharedItems containsSemiMixedTypes="0" containsString="0" containsNumber="1" containsInteger="1" minValue="0" maxValue="90"/>
    </cacheField>
    <cacheField name="Stopps Zustellung AT / April" numFmtId="2">
      <sharedItems containsSemiMixedTypes="0" containsString="0" containsNumber="1" minValue="0" maxValue="4.5"/>
    </cacheField>
    <cacheField name="Sendungen Zustellung April" numFmtId="2">
      <sharedItems containsSemiMixedTypes="0" containsString="0" containsNumber="1" containsInteger="1" minValue="0" maxValue="94"/>
    </cacheField>
    <cacheField name="Stopps Abholung April" numFmtId="2">
      <sharedItems containsSemiMixedTypes="0" containsString="0" containsNumber="1" containsInteger="1" minValue="0" maxValue="46"/>
    </cacheField>
    <cacheField name="Sendungen Abholung April" numFmtId="2">
      <sharedItems containsSemiMixedTypes="0" containsString="0" containsNumber="1" containsInteger="1" minValue="0" maxValue="1725"/>
    </cacheField>
    <cacheField name="Stopps Abholung AT / April" numFmtId="2">
      <sharedItems containsSemiMixedTypes="0" containsString="0" containsNumber="1" minValue="0" maxValue="2.2999999999999998"/>
    </cacheField>
    <cacheField name="Stopps/AT Zusatz ab 01.01.2026" numFmtId="2">
      <sharedItems containsSemiMixedTypes="0" containsString="0" containsNumber="1" minValue="0" maxValue="4.3170731707317076"/>
    </cacheField>
    <cacheField name="Stopps Zustellung/AT ab 01.01.2026" numFmtId="2">
      <sharedItems containsSemiMixedTypes="0" containsString="0" containsNumber="1" minValue="0" maxValue="6.8"/>
    </cacheField>
    <cacheField name="Angenommen Gesamtstopps ab 01.01.2026" numFmtId="0" formula="SUM('Stopps Zustellung/AT ab 01.01.2026'+'Stopps Abholung AT / April')" databaseField="0"/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301">
  <r>
    <s v="N001"/>
    <s v="N731"/>
    <x v="0"/>
    <s v="BT Transporte"/>
    <x v="0"/>
    <s v="DE"/>
    <n v="7000"/>
    <n v="18"/>
    <n v="0.8571428571428571"/>
    <n v="20"/>
    <n v="5"/>
    <n v="0.23809523809523808"/>
    <n v="5"/>
    <n v="14"/>
    <n v="0.7"/>
    <n v="17"/>
    <n v="1"/>
    <n v="1"/>
    <n v="0.05"/>
    <n v="0.7"/>
    <n v="1.4"/>
  </r>
  <r>
    <s v="N001"/>
    <s v="N731"/>
    <x v="0"/>
    <s v="BT Transporte"/>
    <x v="1"/>
    <s v="DE"/>
    <n v="7000"/>
    <n v="7"/>
    <n v="0.33333333333333331"/>
    <n v="7"/>
    <n v="2"/>
    <n v="9.5238095238095233E-2"/>
    <n v="2"/>
    <n v="10"/>
    <n v="0.5"/>
    <n v="10"/>
    <n v="4"/>
    <n v="5"/>
    <n v="0.2"/>
    <n v="1.2"/>
    <n v="1.7"/>
  </r>
  <r>
    <s v="N001"/>
    <s v="N731"/>
    <x v="1"/>
    <s v="BT Transporte"/>
    <x v="2"/>
    <s v="DE"/>
    <n v="7000"/>
    <n v="34"/>
    <n v="1.6190476190476191"/>
    <n v="35"/>
    <n v="3"/>
    <n v="0.14285714285714285"/>
    <n v="3"/>
    <n v="42"/>
    <n v="2.1"/>
    <n v="42"/>
    <n v="0"/>
    <n v="0"/>
    <n v="0"/>
    <n v="1.6"/>
    <n v="3.7"/>
  </r>
  <r>
    <s v="N001"/>
    <s v="N731"/>
    <x v="1"/>
    <s v="BT Transporte"/>
    <x v="3"/>
    <s v="DE"/>
    <n v="7000"/>
    <n v="6"/>
    <n v="0.2857142857142857"/>
    <n v="6"/>
    <n v="1"/>
    <n v="4.7619047619047616E-2"/>
    <n v="1"/>
    <n v="0"/>
    <n v="0"/>
    <n v="0"/>
    <n v="0"/>
    <n v="0"/>
    <n v="0"/>
    <n v="0.48780487804878053"/>
    <n v="0.48780487804878053"/>
  </r>
  <r>
    <s v="N001"/>
    <s v="N731"/>
    <x v="1"/>
    <s v="BT Transporte"/>
    <x v="4"/>
    <s v="DE"/>
    <n v="7000"/>
    <n v="7"/>
    <n v="0.33333333333333331"/>
    <n v="7"/>
    <n v="0"/>
    <n v="0"/>
    <n v="0"/>
    <n v="5"/>
    <n v="0.25"/>
    <n v="5"/>
    <n v="2"/>
    <n v="2"/>
    <n v="0.1"/>
    <n v="0.85365853658536583"/>
    <n v="1.1036585365853657"/>
  </r>
  <r>
    <s v="N500"/>
    <s v="N701"/>
    <x v="1"/>
    <s v="HTM"/>
    <x v="5"/>
    <s v="DE"/>
    <n v="7000"/>
    <n v="0"/>
    <n v="0"/>
    <n v="0"/>
    <n v="0"/>
    <n v="0"/>
    <n v="0"/>
    <n v="0"/>
    <n v="0"/>
    <n v="0"/>
    <n v="0"/>
    <n v="0"/>
    <n v="0"/>
    <n v="0.12195121951219512"/>
    <n v="0.12195121951219512"/>
  </r>
  <r>
    <s v="N001"/>
    <s v="N731"/>
    <x v="1"/>
    <s v="BT Transporte"/>
    <x v="6"/>
    <s v="DE"/>
    <n v="7000"/>
    <n v="1"/>
    <n v="4.7619047619047616E-2"/>
    <n v="1"/>
    <n v="0"/>
    <n v="0"/>
    <n v="0"/>
    <n v="2"/>
    <n v="0.1"/>
    <n v="2"/>
    <n v="0"/>
    <n v="0"/>
    <n v="0"/>
    <n v="0.21951219512195122"/>
    <n v="0.31951219512195123"/>
  </r>
  <r>
    <s v="N001"/>
    <s v="N731"/>
    <x v="0"/>
    <s v="BT Transporte"/>
    <x v="7"/>
    <s v="DE"/>
    <n v="7000"/>
    <n v="15"/>
    <n v="0.7142857142857143"/>
    <n v="15"/>
    <n v="3"/>
    <n v="0.14285714285714285"/>
    <n v="3"/>
    <n v="15"/>
    <n v="0.75"/>
    <n v="15"/>
    <n v="0"/>
    <n v="0"/>
    <n v="0"/>
    <n v="0.3"/>
    <n v="1.05"/>
  </r>
  <r>
    <s v="N001"/>
    <s v="N731"/>
    <x v="0"/>
    <s v="BT Transporte"/>
    <x v="8"/>
    <s v="DE"/>
    <n v="7000"/>
    <n v="56"/>
    <n v="2.6666666666666665"/>
    <n v="57"/>
    <n v="25"/>
    <n v="1.1904761904761905"/>
    <n v="34"/>
    <n v="90"/>
    <n v="4.5"/>
    <n v="94"/>
    <n v="29"/>
    <n v="34"/>
    <n v="1.45"/>
    <n v="2.2999999999999998"/>
    <n v="6.8"/>
  </r>
  <r>
    <s v="N001"/>
    <s v="N731"/>
    <x v="0"/>
    <s v="BT Transporte"/>
    <x v="9"/>
    <s v="DE"/>
    <n v="7000"/>
    <n v="31"/>
    <n v="1.4761904761904763"/>
    <n v="32"/>
    <n v="15"/>
    <n v="0.7142857142857143"/>
    <n v="47"/>
    <n v="30"/>
    <n v="1.5"/>
    <n v="31"/>
    <n v="11"/>
    <n v="40"/>
    <n v="0.55000000000000004"/>
    <n v="1.5"/>
    <n v="3"/>
  </r>
  <r>
    <s v="N001"/>
    <s v="N731"/>
    <x v="1"/>
    <s v="BT Transporte"/>
    <x v="10"/>
    <s v="DE"/>
    <n v="7000"/>
    <n v="5"/>
    <n v="0.23809523809523808"/>
    <n v="5"/>
    <n v="1"/>
    <n v="4.7619047619047616E-2"/>
    <n v="1"/>
    <n v="4"/>
    <n v="0.2"/>
    <n v="4"/>
    <n v="0"/>
    <n v="0"/>
    <n v="0"/>
    <n v="0.5"/>
    <n v="0.7"/>
  </r>
  <r>
    <s v="N001"/>
    <s v="N731"/>
    <x v="1"/>
    <s v="BT Transporte"/>
    <x v="11"/>
    <s v="DE"/>
    <n v="7000"/>
    <n v="11"/>
    <n v="0.52380952380952384"/>
    <n v="12"/>
    <n v="1"/>
    <n v="4.7619047619047616E-2"/>
    <n v="1"/>
    <n v="10"/>
    <n v="0.5"/>
    <n v="10"/>
    <n v="0"/>
    <n v="0"/>
    <n v="0"/>
    <n v="0.4"/>
    <n v="0.9"/>
  </r>
  <r>
    <s v="N001"/>
    <s v="N731"/>
    <x v="1"/>
    <s v="BT Transporte"/>
    <x v="12"/>
    <s v="DE"/>
    <n v="7000"/>
    <n v="11"/>
    <n v="0.52380952380952384"/>
    <n v="13"/>
    <n v="1"/>
    <n v="4.7619047619047616E-2"/>
    <n v="1"/>
    <n v="10"/>
    <n v="0.5"/>
    <n v="10"/>
    <n v="1"/>
    <n v="1"/>
    <n v="0.05"/>
    <n v="0.2"/>
    <n v="0.7"/>
  </r>
  <r>
    <s v="N001"/>
    <s v="N731"/>
    <x v="0"/>
    <s v="BT Transporte"/>
    <x v="13"/>
    <s v="DE"/>
    <n v="7000"/>
    <n v="10"/>
    <n v="0.47619047619047616"/>
    <n v="10"/>
    <n v="9"/>
    <n v="0.42857142857142855"/>
    <n v="16"/>
    <n v="24"/>
    <n v="1.2"/>
    <n v="25"/>
    <n v="7"/>
    <n v="12"/>
    <n v="0.35"/>
    <n v="1.1000000000000001"/>
    <n v="2.2999999999999998"/>
  </r>
  <r>
    <s v="N002"/>
    <s v="N761"/>
    <x v="2"/>
    <s v="?"/>
    <x v="14"/>
    <s v="DE"/>
    <n v="7000"/>
    <n v="31"/>
    <n v="1.4761904761904763"/>
    <n v="32"/>
    <n v="10"/>
    <n v="0.47619047619047616"/>
    <n v="13"/>
    <n v="31"/>
    <n v="1.55"/>
    <n v="31"/>
    <n v="9"/>
    <n v="13"/>
    <n v="0.45"/>
    <n v="4.3170731707317076"/>
    <n v="5.8670731707317074"/>
  </r>
  <r>
    <s v="N002"/>
    <s v="N761"/>
    <x v="2"/>
    <s v="?"/>
    <x v="15"/>
    <s v="DE"/>
    <n v="7000"/>
    <n v="6"/>
    <n v="0.2857142857142857"/>
    <n v="6"/>
    <n v="15"/>
    <n v="0.7142857142857143"/>
    <n v="20"/>
    <n v="6"/>
    <n v="0.3"/>
    <n v="6"/>
    <n v="8"/>
    <n v="12"/>
    <n v="0.4"/>
    <n v="1.6341463414634148"/>
    <n v="1.9341463414634148"/>
  </r>
  <r>
    <s v="N002"/>
    <s v="N761"/>
    <x v="3"/>
    <s v="?"/>
    <x v="16"/>
    <s v="DE"/>
    <n v="7000"/>
    <n v="9"/>
    <n v="0.42857142857142855"/>
    <n v="11"/>
    <n v="11"/>
    <n v="0.52380952380952384"/>
    <n v="14"/>
    <n v="6"/>
    <n v="0.3"/>
    <n v="7"/>
    <n v="2"/>
    <n v="2"/>
    <n v="0.1"/>
    <n v="0.14634146341463414"/>
    <n v="0.4463414634146341"/>
  </r>
  <r>
    <s v="N002"/>
    <s v="N761"/>
    <x v="2"/>
    <s v="?"/>
    <x v="17"/>
    <s v="DE"/>
    <n v="7000"/>
    <n v="12"/>
    <n v="0.5714285714285714"/>
    <n v="12"/>
    <n v="0"/>
    <n v="0"/>
    <n v="0"/>
    <n v="8"/>
    <n v="0.4"/>
    <n v="9"/>
    <n v="1"/>
    <n v="1"/>
    <n v="0.05"/>
    <n v="0.21951219512195125"/>
    <n v="0.61951219512195133"/>
  </r>
  <r>
    <s v="N151"/>
    <s v="N760"/>
    <x v="2"/>
    <s v="Blumenstock"/>
    <x v="18"/>
    <s v="DE"/>
    <n v="7000"/>
    <n v="0"/>
    <n v="0"/>
    <n v="0"/>
    <n v="0"/>
    <n v="0"/>
    <n v="0"/>
    <n v="3"/>
    <n v="0.15"/>
    <n v="3"/>
    <n v="0"/>
    <n v="0"/>
    <n v="0"/>
    <n v="0.26829268292682928"/>
    <n v="0.41829268292682931"/>
  </r>
  <r>
    <s v="N002"/>
    <s v="N761"/>
    <x v="3"/>
    <s v="?"/>
    <x v="19"/>
    <s v="DE"/>
    <n v="7000"/>
    <n v="5"/>
    <n v="0.23809523809523808"/>
    <n v="5"/>
    <n v="2"/>
    <n v="9.5238095238095233E-2"/>
    <n v="2"/>
    <n v="1"/>
    <n v="0.05"/>
    <n v="1"/>
    <n v="2"/>
    <n v="2"/>
    <n v="0.1"/>
    <n v="0.51219512195121952"/>
    <n v="0.56219512195121957"/>
  </r>
  <r>
    <s v="N002"/>
    <s v="N761"/>
    <x v="3"/>
    <s v="?"/>
    <x v="20"/>
    <s v="DE"/>
    <n v="7000"/>
    <n v="4"/>
    <n v="0.19047619047619047"/>
    <n v="5"/>
    <n v="20"/>
    <n v="0.95238095238095233"/>
    <n v="131"/>
    <n v="3"/>
    <n v="0.15"/>
    <n v="3"/>
    <n v="21"/>
    <n v="112"/>
    <n v="1.05"/>
    <n v="0.78048780487804881"/>
    <n v="0.93048780487804883"/>
  </r>
  <r>
    <s v="N002"/>
    <s v="N761"/>
    <x v="3"/>
    <s v="?"/>
    <x v="21"/>
    <s v="DE"/>
    <n v="7000"/>
    <n v="8"/>
    <n v="0.38095238095238093"/>
    <n v="8"/>
    <n v="1"/>
    <n v="4.7619047619047616E-2"/>
    <n v="1"/>
    <n v="6"/>
    <n v="0.3"/>
    <n v="6"/>
    <n v="0"/>
    <n v="0"/>
    <n v="0"/>
    <n v="0.43902439024390244"/>
    <n v="0.73902439024390243"/>
  </r>
  <r>
    <s v="N002"/>
    <s v="N761"/>
    <x v="3"/>
    <s v="?"/>
    <x v="22"/>
    <s v="DE"/>
    <n v="7000"/>
    <n v="10"/>
    <n v="0.47619047619047616"/>
    <n v="10"/>
    <n v="8"/>
    <n v="0.38095238095238093"/>
    <n v="18"/>
    <n v="7"/>
    <n v="0.35"/>
    <n v="7"/>
    <n v="6"/>
    <n v="11"/>
    <n v="0.3"/>
    <n v="0.6097560975609756"/>
    <n v="0.95975609756097557"/>
  </r>
  <r>
    <s v="N201"/>
    <s v="N704"/>
    <x v="3"/>
    <s v="Kalazidis"/>
    <x v="23"/>
    <s v="DE"/>
    <n v="7000"/>
    <n v="42"/>
    <n v="2"/>
    <n v="43"/>
    <n v="15"/>
    <n v="0.7142857142857143"/>
    <n v="20"/>
    <n v="40"/>
    <n v="2"/>
    <n v="43"/>
    <n v="12"/>
    <n v="13"/>
    <n v="0.6"/>
    <n v="2.3902439024390243"/>
    <n v="4.3902439024390247"/>
  </r>
  <r>
    <s v="N201"/>
    <s v="N704"/>
    <x v="3"/>
    <s v="Kalazidis"/>
    <x v="24"/>
    <s v="DE"/>
    <n v="7000"/>
    <n v="13"/>
    <n v="0.61904761904761907"/>
    <n v="13"/>
    <n v="22"/>
    <n v="1.0476190476190477"/>
    <n v="60"/>
    <n v="18"/>
    <n v="0.9"/>
    <n v="18"/>
    <n v="15"/>
    <n v="37"/>
    <n v="0.75"/>
    <n v="1.0975609756097562"/>
    <n v="1.9975609756097561"/>
  </r>
  <r>
    <s v="N201"/>
    <s v="N704"/>
    <x v="3"/>
    <s v="Kalazidis"/>
    <x v="25"/>
    <s v="DE"/>
    <n v="7000"/>
    <n v="8"/>
    <n v="0.38095238095238093"/>
    <n v="8"/>
    <n v="0"/>
    <n v="0"/>
    <n v="0"/>
    <n v="12"/>
    <n v="0.6"/>
    <n v="12"/>
    <n v="0"/>
    <n v="0"/>
    <n v="0"/>
    <n v="0.31707317073170732"/>
    <n v="0.91707317073170724"/>
  </r>
  <r>
    <s v="N050"/>
    <s v="N701"/>
    <x v="4"/>
    <s v="Bayram"/>
    <x v="26"/>
    <s v="DE"/>
    <n v="7000"/>
    <n v="19"/>
    <n v="0.90476190476190477"/>
    <n v="19"/>
    <n v="0"/>
    <n v="0"/>
    <n v="0"/>
    <n v="22"/>
    <n v="1.1000000000000001"/>
    <n v="23"/>
    <n v="0"/>
    <n v="0"/>
    <n v="0"/>
    <n v="0.8"/>
    <n v="1.9000000000000001"/>
  </r>
  <r>
    <s v="N050"/>
    <s v="N701"/>
    <x v="4"/>
    <s v="Bayram"/>
    <x v="27"/>
    <s v="DE"/>
    <n v="7000"/>
    <n v="9"/>
    <n v="0.42857142857142855"/>
    <n v="11"/>
    <n v="0"/>
    <n v="0"/>
    <n v="0"/>
    <n v="16"/>
    <n v="0.8"/>
    <n v="22"/>
    <n v="0"/>
    <n v="0"/>
    <n v="0"/>
    <n v="0.6"/>
    <n v="1.4"/>
  </r>
  <r>
    <s v="N050"/>
    <s v="N701"/>
    <x v="4"/>
    <s v="Bayram"/>
    <x v="28"/>
    <s v="DE"/>
    <n v="7000"/>
    <n v="9"/>
    <n v="0.42857142857142855"/>
    <n v="9"/>
    <n v="0"/>
    <n v="0"/>
    <n v="0"/>
    <n v="7"/>
    <n v="0.35"/>
    <n v="7"/>
    <n v="0"/>
    <n v="0"/>
    <n v="0"/>
    <n v="0.2"/>
    <n v="0.55000000000000004"/>
  </r>
  <r>
    <s v="N050"/>
    <s v="N701"/>
    <x v="4"/>
    <s v="Bayram"/>
    <x v="29"/>
    <s v="DE"/>
    <n v="7000"/>
    <n v="9"/>
    <n v="0.42857142857142855"/>
    <n v="11"/>
    <n v="0"/>
    <n v="0"/>
    <n v="0"/>
    <n v="11"/>
    <n v="0.55000000000000004"/>
    <n v="12"/>
    <n v="0"/>
    <n v="0"/>
    <n v="0"/>
    <n v="0.4"/>
    <n v="0.95000000000000007"/>
  </r>
  <r>
    <s v="N050"/>
    <s v="N701"/>
    <x v="4"/>
    <s v="Bayram"/>
    <x v="30"/>
    <s v="DE"/>
    <n v="7000"/>
    <n v="1"/>
    <n v="4.7619047619047616E-2"/>
    <n v="1"/>
    <n v="0"/>
    <n v="0"/>
    <n v="0"/>
    <n v="4"/>
    <n v="0.2"/>
    <n v="4"/>
    <n v="0"/>
    <n v="0"/>
    <n v="0"/>
    <n v="0.1"/>
    <n v="0.30000000000000004"/>
  </r>
  <r>
    <s v="N050"/>
    <s v="N701"/>
    <x v="4"/>
    <s v="Bayram"/>
    <x v="31"/>
    <s v="DE"/>
    <n v="7000"/>
    <n v="10"/>
    <n v="0.47619047619047616"/>
    <n v="10"/>
    <n v="0"/>
    <n v="0"/>
    <n v="0"/>
    <n v="11"/>
    <n v="0.55000000000000004"/>
    <n v="11"/>
    <n v="1"/>
    <n v="1"/>
    <n v="0.05"/>
    <n v="0"/>
    <n v="0.55000000000000004"/>
  </r>
  <r>
    <s v="N050"/>
    <s v="N701"/>
    <x v="4"/>
    <s v="Bayram"/>
    <x v="32"/>
    <s v="DE"/>
    <n v="7000"/>
    <n v="1"/>
    <n v="4.7619047619047616E-2"/>
    <n v="1"/>
    <n v="0"/>
    <n v="0"/>
    <n v="0"/>
    <n v="1"/>
    <n v="0.05"/>
    <n v="1"/>
    <n v="0"/>
    <n v="0"/>
    <n v="0"/>
    <n v="0.1"/>
    <n v="0.15000000000000002"/>
  </r>
  <r>
    <s v="N050"/>
    <s v="N701"/>
    <x v="4"/>
    <s v="Bayram"/>
    <x v="33"/>
    <s v="DE"/>
    <n v="7000"/>
    <n v="3"/>
    <n v="0.14285714285714285"/>
    <n v="3"/>
    <n v="0"/>
    <n v="0"/>
    <n v="0"/>
    <n v="2"/>
    <n v="0.1"/>
    <n v="2"/>
    <n v="0"/>
    <n v="0"/>
    <n v="0"/>
    <n v="0.3"/>
    <n v="0.4"/>
  </r>
  <r>
    <s v="N050"/>
    <s v="N701"/>
    <x v="4"/>
    <s v="Bayram"/>
    <x v="34"/>
    <s v="DE"/>
    <n v="7000"/>
    <n v="48"/>
    <n v="2.2857142857142856"/>
    <n v="51"/>
    <n v="0"/>
    <n v="0"/>
    <n v="0"/>
    <n v="27"/>
    <n v="1.35"/>
    <n v="28"/>
    <n v="1"/>
    <n v="1"/>
    <n v="0.05"/>
    <n v="0.8"/>
    <n v="2.1500000000000004"/>
  </r>
  <r>
    <s v="N050"/>
    <s v="N701"/>
    <x v="4"/>
    <s v="Bayram"/>
    <x v="35"/>
    <s v="DE"/>
    <n v="7000"/>
    <n v="6"/>
    <n v="0.2857142857142857"/>
    <n v="6"/>
    <n v="0"/>
    <n v="0"/>
    <n v="0"/>
    <n v="8"/>
    <n v="0.4"/>
    <n v="8"/>
    <n v="0"/>
    <n v="0"/>
    <n v="0"/>
    <n v="0.1"/>
    <n v="0.5"/>
  </r>
  <r>
    <s v="N050"/>
    <s v="N701"/>
    <x v="4"/>
    <s v="Bayram"/>
    <x v="36"/>
    <s v="DE"/>
    <n v="7000"/>
    <n v="3"/>
    <n v="0.14285714285714285"/>
    <n v="3"/>
    <n v="0"/>
    <n v="0"/>
    <n v="0"/>
    <n v="4"/>
    <n v="0.2"/>
    <n v="4"/>
    <n v="0"/>
    <n v="0"/>
    <n v="0"/>
    <n v="0.2"/>
    <n v="0.4"/>
  </r>
  <r>
    <s v="N050"/>
    <s v="N701"/>
    <x v="4"/>
    <s v="Bayram"/>
    <x v="37"/>
    <s v="DE"/>
    <n v="7000"/>
    <n v="4"/>
    <n v="0.19047619047619047"/>
    <n v="4"/>
    <n v="0"/>
    <n v="0"/>
    <n v="0"/>
    <n v="4"/>
    <n v="0.2"/>
    <n v="4"/>
    <n v="0"/>
    <n v="0"/>
    <n v="0"/>
    <n v="0"/>
    <n v="0.2"/>
  </r>
  <r>
    <s v="N050"/>
    <s v="N701"/>
    <x v="4"/>
    <s v="Bayram"/>
    <x v="38"/>
    <s v="DE"/>
    <n v="7000"/>
    <n v="3"/>
    <n v="0.14285714285714285"/>
    <n v="3"/>
    <n v="0"/>
    <n v="0"/>
    <n v="0"/>
    <n v="4"/>
    <n v="0.2"/>
    <n v="4"/>
    <n v="0"/>
    <n v="0"/>
    <n v="0"/>
    <n v="0"/>
    <n v="0.2"/>
  </r>
  <r>
    <s v="N050"/>
    <s v="N701"/>
    <x v="4"/>
    <s v="Bayram"/>
    <x v="39"/>
    <s v="DE"/>
    <n v="7000"/>
    <n v="1"/>
    <n v="4.7619047619047616E-2"/>
    <n v="1"/>
    <n v="0"/>
    <n v="0"/>
    <n v="0"/>
    <n v="4"/>
    <n v="0.2"/>
    <n v="5"/>
    <n v="0"/>
    <n v="0"/>
    <n v="0"/>
    <n v="0.6"/>
    <n v="0.8"/>
  </r>
  <r>
    <s v="N050"/>
    <s v="N701"/>
    <x v="5"/>
    <s v="Bayram"/>
    <x v="40"/>
    <s v="DE"/>
    <n v="7000"/>
    <n v="26"/>
    <n v="1.2380952380952381"/>
    <n v="27"/>
    <n v="6"/>
    <n v="0.2857142857142857"/>
    <n v="6"/>
    <n v="19"/>
    <n v="0.95"/>
    <n v="20"/>
    <n v="3"/>
    <n v="3"/>
    <n v="0.15"/>
    <n v="0.3"/>
    <n v="1.25"/>
  </r>
  <r>
    <s v="N050"/>
    <s v="N701"/>
    <x v="5"/>
    <s v="Bayram"/>
    <x v="41"/>
    <s v="DE"/>
    <n v="7000"/>
    <n v="5"/>
    <n v="0.23809523809523808"/>
    <n v="5"/>
    <n v="0"/>
    <n v="0"/>
    <n v="0"/>
    <n v="2"/>
    <n v="0.1"/>
    <n v="2"/>
    <n v="0"/>
    <n v="0"/>
    <n v="0"/>
    <n v="0.4"/>
    <n v="0.5"/>
  </r>
  <r>
    <s v="N050"/>
    <s v="N701"/>
    <x v="5"/>
    <s v="Bayram"/>
    <x v="42"/>
    <s v="DE"/>
    <n v="7000"/>
    <n v="13"/>
    <n v="0.61904761904761907"/>
    <n v="13"/>
    <n v="0"/>
    <n v="0"/>
    <n v="0"/>
    <n v="20"/>
    <n v="1"/>
    <n v="21"/>
    <n v="0"/>
    <n v="0"/>
    <n v="0"/>
    <n v="1.4"/>
    <n v="2.4"/>
  </r>
  <r>
    <s v="N050"/>
    <s v="N701"/>
    <x v="5"/>
    <s v="Bayram"/>
    <x v="43"/>
    <s v="DE"/>
    <n v="7000"/>
    <n v="4"/>
    <n v="0.19047619047619047"/>
    <n v="4"/>
    <n v="0"/>
    <n v="0"/>
    <n v="0"/>
    <n v="6"/>
    <n v="0.3"/>
    <n v="6"/>
    <n v="0"/>
    <n v="0"/>
    <n v="0"/>
    <n v="0.3"/>
    <n v="0.6"/>
  </r>
  <r>
    <s v="N050"/>
    <s v="N702"/>
    <x v="5"/>
    <s v="Bayram"/>
    <x v="44"/>
    <s v="DE"/>
    <n v="7000"/>
    <n v="18"/>
    <n v="0.8571428571428571"/>
    <n v="19"/>
    <n v="2"/>
    <n v="9.5238095238095233E-2"/>
    <n v="3"/>
    <n v="24"/>
    <n v="1.2"/>
    <n v="27"/>
    <n v="4"/>
    <n v="4"/>
    <n v="0.2"/>
    <n v="0.9"/>
    <n v="2.1"/>
  </r>
  <r>
    <s v="N050"/>
    <s v="N702"/>
    <x v="5"/>
    <s v="Bayram"/>
    <x v="45"/>
    <s v="DE"/>
    <n v="7000"/>
    <n v="0"/>
    <n v="0"/>
    <n v="0"/>
    <n v="0"/>
    <n v="0"/>
    <n v="0"/>
    <n v="4"/>
    <n v="0.2"/>
    <n v="4"/>
    <n v="0"/>
    <n v="0"/>
    <n v="0"/>
    <n v="0.1"/>
    <n v="0.30000000000000004"/>
  </r>
  <r>
    <s v="N050"/>
    <s v="N702"/>
    <x v="5"/>
    <s v="Bayram"/>
    <x v="46"/>
    <s v="DE"/>
    <n v="7000"/>
    <n v="11"/>
    <n v="0.52380952380952384"/>
    <n v="11"/>
    <n v="6"/>
    <n v="0.2857142857142857"/>
    <n v="7"/>
    <n v="7"/>
    <n v="0.35"/>
    <n v="7"/>
    <n v="6"/>
    <n v="9"/>
    <n v="0.3"/>
    <n v="0.3"/>
    <n v="0.64999999999999991"/>
  </r>
  <r>
    <s v="N050"/>
    <s v="N701"/>
    <x v="5"/>
    <s v="Bayram"/>
    <x v="47"/>
    <s v="DE"/>
    <n v="7000"/>
    <n v="31"/>
    <n v="1.4761904761904763"/>
    <n v="32"/>
    <n v="12"/>
    <n v="0.5714285714285714"/>
    <n v="15"/>
    <n v="36"/>
    <n v="1.8"/>
    <n v="37"/>
    <n v="9"/>
    <n v="13"/>
    <n v="0.45"/>
    <n v="1.3"/>
    <n v="3.1"/>
  </r>
  <r>
    <s v="N050"/>
    <s v="N702"/>
    <x v="5"/>
    <s v="Bayram"/>
    <x v="48"/>
    <s v="DE"/>
    <n v="7000"/>
    <n v="49"/>
    <n v="2.3333333333333335"/>
    <n v="51"/>
    <n v="16"/>
    <n v="0.76190476190476186"/>
    <n v="16"/>
    <n v="64"/>
    <n v="3.2"/>
    <n v="68"/>
    <n v="9"/>
    <n v="9"/>
    <n v="0.45"/>
    <n v="2.5"/>
    <n v="5.7"/>
  </r>
  <r>
    <s v="N100"/>
    <s v="N705"/>
    <x v="6"/>
    <s v="Barone"/>
    <x v="49"/>
    <s v="DE"/>
    <n v="7000"/>
    <n v="8"/>
    <n v="0.38095238095238093"/>
    <n v="8"/>
    <n v="0"/>
    <n v="0"/>
    <n v="0"/>
    <n v="14"/>
    <n v="0.7"/>
    <n v="18"/>
    <n v="1"/>
    <n v="1"/>
    <n v="0.05"/>
    <n v="0.9"/>
    <n v="1.6"/>
  </r>
  <r>
    <s v="N100"/>
    <s v="N705"/>
    <x v="6"/>
    <s v="Barone"/>
    <x v="50"/>
    <s v="DE"/>
    <n v="7000"/>
    <n v="32"/>
    <n v="1.5238095238095237"/>
    <n v="43"/>
    <n v="11"/>
    <n v="0.52380952380952384"/>
    <n v="11"/>
    <n v="31"/>
    <n v="1.55"/>
    <n v="35"/>
    <n v="5"/>
    <n v="5"/>
    <n v="0.25"/>
    <n v="2.7"/>
    <n v="4.25"/>
  </r>
  <r>
    <s v="N100"/>
    <s v="N705"/>
    <x v="6"/>
    <s v="Barone"/>
    <x v="51"/>
    <s v="DE"/>
    <n v="7000"/>
    <n v="2"/>
    <n v="9.5238095238095233E-2"/>
    <n v="2"/>
    <n v="1"/>
    <n v="4.7619047619047616E-2"/>
    <n v="1"/>
    <n v="2"/>
    <n v="0.1"/>
    <n v="2"/>
    <n v="0"/>
    <n v="0"/>
    <n v="0"/>
    <n v="0.9"/>
    <n v="1"/>
  </r>
  <r>
    <s v="N100"/>
    <s v="N705"/>
    <x v="6"/>
    <s v="Barone"/>
    <x v="52"/>
    <s v="DE"/>
    <n v="7000"/>
    <n v="2"/>
    <n v="9.5238095238095233E-2"/>
    <n v="2"/>
    <n v="0"/>
    <n v="0"/>
    <n v="0"/>
    <n v="6"/>
    <n v="0.3"/>
    <n v="6"/>
    <n v="0"/>
    <n v="0"/>
    <n v="0"/>
    <n v="1"/>
    <n v="1.3"/>
  </r>
  <r>
    <s v="N100"/>
    <s v="N705"/>
    <x v="6"/>
    <s v="Barone"/>
    <x v="53"/>
    <s v="DE"/>
    <n v="7000"/>
    <n v="13"/>
    <n v="0.61904761904761907"/>
    <n v="13"/>
    <n v="1"/>
    <n v="4.7619047619047616E-2"/>
    <n v="1"/>
    <n v="16"/>
    <n v="0.8"/>
    <n v="17"/>
    <n v="6"/>
    <n v="7"/>
    <n v="0.3"/>
    <n v="2.8"/>
    <n v="3.5999999999999996"/>
  </r>
  <r>
    <s v="N100"/>
    <s v="N705"/>
    <x v="6"/>
    <s v="Barone"/>
    <x v="54"/>
    <s v="DE"/>
    <n v="7000"/>
    <n v="16"/>
    <n v="0.76190476190476186"/>
    <n v="16"/>
    <n v="6"/>
    <n v="0.2857142857142857"/>
    <n v="7"/>
    <n v="15"/>
    <n v="0.75"/>
    <n v="15"/>
    <n v="1"/>
    <n v="1"/>
    <n v="0.05"/>
    <n v="1.7"/>
    <n v="2.4500000000000002"/>
  </r>
  <r>
    <s v="N250"/>
    <s v="N720"/>
    <x v="7"/>
    <s v="Erdem"/>
    <x v="55"/>
    <s v="DE"/>
    <n v="7000"/>
    <n v="21"/>
    <n v="1"/>
    <n v="21"/>
    <n v="17"/>
    <n v="0.80952380952380953"/>
    <n v="29"/>
    <n v="16"/>
    <n v="0.8"/>
    <n v="16"/>
    <n v="18"/>
    <n v="31"/>
    <n v="0.9"/>
    <n v="0.3"/>
    <n v="1.1000000000000001"/>
  </r>
  <r>
    <s v="N250"/>
    <s v="N720"/>
    <x v="7"/>
    <s v="Erdem"/>
    <x v="56"/>
    <s v="DE"/>
    <n v="7000"/>
    <n v="4"/>
    <n v="0.19047619047619047"/>
    <n v="4"/>
    <n v="0"/>
    <n v="0"/>
    <n v="0"/>
    <n v="5"/>
    <n v="0.25"/>
    <n v="5"/>
    <n v="0"/>
    <n v="0"/>
    <n v="0"/>
    <n v="0.2"/>
    <n v="0.45"/>
  </r>
  <r>
    <s v="N100"/>
    <s v="N705"/>
    <x v="6"/>
    <s v="Barone"/>
    <x v="57"/>
    <s v="DE"/>
    <n v="7000"/>
    <n v="5"/>
    <n v="0.23809523809523808"/>
    <n v="6"/>
    <n v="4"/>
    <n v="0.19047619047619047"/>
    <n v="5"/>
    <n v="3"/>
    <n v="0.15"/>
    <n v="3"/>
    <n v="4"/>
    <n v="6"/>
    <n v="0.2"/>
    <n v="0.3"/>
    <n v="0.44999999999999996"/>
  </r>
  <r>
    <s v="N250"/>
    <s v="N720"/>
    <x v="7"/>
    <s v="Erdem"/>
    <x v="58"/>
    <s v="DE"/>
    <n v="7000"/>
    <n v="15"/>
    <n v="0.7142857142857143"/>
    <n v="15"/>
    <n v="6"/>
    <n v="0.2857142857142857"/>
    <n v="9"/>
    <n v="11"/>
    <n v="0.55000000000000004"/>
    <n v="11"/>
    <n v="5"/>
    <n v="6"/>
    <n v="0.25"/>
    <n v="0.21951219512195119"/>
    <n v="0.76951219512195124"/>
  </r>
  <r>
    <s v="N201"/>
    <s v="N704"/>
    <x v="6"/>
    <s v="Kalazidis"/>
    <x v="59"/>
    <s v="DE"/>
    <n v="7000"/>
    <n v="5"/>
    <n v="0.23809523809523808"/>
    <n v="5"/>
    <n v="5"/>
    <n v="0.23809523809523808"/>
    <n v="5"/>
    <n v="2"/>
    <n v="0.1"/>
    <n v="2"/>
    <n v="1"/>
    <n v="2"/>
    <n v="0.05"/>
    <n v="0.46341463414634143"/>
    <n v="0.56341463414634141"/>
  </r>
  <r>
    <s v="N100"/>
    <s v="N705"/>
    <x v="6"/>
    <s v="Barone"/>
    <x v="60"/>
    <s v="DE"/>
    <n v="7000"/>
    <n v="6"/>
    <n v="0.2857142857142857"/>
    <n v="6"/>
    <n v="1"/>
    <n v="4.7619047619047616E-2"/>
    <n v="1"/>
    <n v="6"/>
    <n v="0.3"/>
    <n v="7"/>
    <n v="1"/>
    <n v="1"/>
    <n v="0.05"/>
    <n v="0.48780487804878059"/>
    <n v="0.78780487804878052"/>
  </r>
  <r>
    <s v="N100"/>
    <s v="N705"/>
    <x v="6"/>
    <s v="Barone"/>
    <x v="61"/>
    <s v="DE"/>
    <n v="7000"/>
    <n v="1"/>
    <n v="4.7619047619047616E-2"/>
    <n v="1"/>
    <n v="0"/>
    <n v="0"/>
    <n v="0"/>
    <n v="1"/>
    <n v="0.05"/>
    <n v="1"/>
    <n v="0"/>
    <n v="0"/>
    <n v="0"/>
    <n v="0.1951219512195122"/>
    <n v="0.24512195121951219"/>
  </r>
  <r>
    <s v="N250"/>
    <s v="N720"/>
    <x v="7"/>
    <s v="Erdem"/>
    <x v="62"/>
    <s v="DE"/>
    <n v="7000"/>
    <n v="7"/>
    <n v="0.33333333333333331"/>
    <n v="7"/>
    <n v="3"/>
    <n v="0.14285714285714285"/>
    <n v="3"/>
    <n v="5"/>
    <n v="0.25"/>
    <n v="5"/>
    <n v="2"/>
    <n v="2"/>
    <n v="0.1"/>
    <n v="0.53658536585365857"/>
    <n v="0.78658536585365857"/>
  </r>
  <r>
    <s v="N250"/>
    <s v="N720"/>
    <x v="7"/>
    <s v="Erdem"/>
    <x v="63"/>
    <s v="DE"/>
    <n v="7000"/>
    <n v="4"/>
    <n v="0.19047619047619047"/>
    <n v="4"/>
    <n v="0"/>
    <n v="0"/>
    <n v="0"/>
    <n v="5"/>
    <n v="0.25"/>
    <n v="5"/>
    <n v="0"/>
    <n v="0"/>
    <n v="0"/>
    <n v="1.024390243902439"/>
    <n v="1.274390243902439"/>
  </r>
  <r>
    <s v="N250"/>
    <s v="N720"/>
    <x v="7"/>
    <s v="Erdem"/>
    <x v="64"/>
    <s v="DE"/>
    <n v="7000"/>
    <n v="8"/>
    <n v="0.38095238095238093"/>
    <n v="8"/>
    <n v="9"/>
    <n v="0.42857142857142855"/>
    <n v="11"/>
    <n v="9"/>
    <n v="0.45"/>
    <n v="9"/>
    <n v="5"/>
    <n v="6"/>
    <n v="0.25"/>
    <n v="1.1707317073170733"/>
    <n v="1.6207317073170733"/>
  </r>
  <r>
    <s v="N250"/>
    <s v="N720"/>
    <x v="8"/>
    <s v="Erdem"/>
    <x v="65"/>
    <s v="DE"/>
    <n v="7000"/>
    <n v="36"/>
    <n v="1.7142857142857142"/>
    <n v="36"/>
    <n v="9"/>
    <n v="0.42857142857142855"/>
    <n v="9"/>
    <n v="23"/>
    <n v="1.1499999999999999"/>
    <n v="24"/>
    <n v="9"/>
    <n v="10"/>
    <n v="0.45"/>
    <n v="2.0975609756097562"/>
    <n v="3.2475609756097561"/>
  </r>
  <r>
    <s v="N250"/>
    <s v="N720"/>
    <x v="7"/>
    <s v="Erdem"/>
    <x v="66"/>
    <s v="DE"/>
    <n v="7000"/>
    <n v="8"/>
    <n v="0.38095238095238093"/>
    <n v="8"/>
    <n v="0"/>
    <n v="0"/>
    <n v="0"/>
    <n v="9"/>
    <n v="0.45"/>
    <n v="9"/>
    <n v="0"/>
    <n v="0"/>
    <n v="0"/>
    <n v="0.68292682926829273"/>
    <n v="1.1329268292682928"/>
  </r>
  <r>
    <s v="N250"/>
    <s v="N720"/>
    <x v="7"/>
    <s v="Erdem"/>
    <x v="67"/>
    <s v="DE"/>
    <n v="7000"/>
    <n v="34"/>
    <n v="1.6190476190476191"/>
    <n v="42"/>
    <n v="18"/>
    <n v="0.8571428571428571"/>
    <n v="20"/>
    <n v="34"/>
    <n v="1.7"/>
    <n v="42"/>
    <n v="22"/>
    <n v="28"/>
    <n v="1.1000000000000001"/>
    <n v="3.2439024390243905"/>
    <n v="4.9439024390243906"/>
  </r>
  <r>
    <s v="N250"/>
    <s v="N720"/>
    <x v="7"/>
    <s v="Erdem"/>
    <x v="68"/>
    <s v="DE"/>
    <n v="7000"/>
    <n v="29"/>
    <n v="1.3809523809523809"/>
    <n v="32"/>
    <n v="6"/>
    <n v="0.2857142857142857"/>
    <n v="6"/>
    <n v="33"/>
    <n v="1.65"/>
    <n v="35"/>
    <n v="8"/>
    <n v="9"/>
    <n v="0.4"/>
    <n v="1.5365853658536586"/>
    <n v="3.1865853658536585"/>
  </r>
  <r>
    <s v="N250"/>
    <s v="N720"/>
    <x v="8"/>
    <s v="Erdem"/>
    <x v="69"/>
    <s v="DE"/>
    <n v="7000"/>
    <n v="13"/>
    <n v="0.61904761904761907"/>
    <n v="15"/>
    <n v="1"/>
    <n v="4.7619047619047616E-2"/>
    <n v="1"/>
    <n v="18"/>
    <n v="0.9"/>
    <n v="19"/>
    <n v="1"/>
    <n v="1"/>
    <n v="0.05"/>
    <n v="0.53658536585365857"/>
    <n v="1.4365853658536585"/>
  </r>
  <r>
    <s v="N250"/>
    <s v="N720"/>
    <x v="7"/>
    <s v="Erdem"/>
    <x v="70"/>
    <s v="DE"/>
    <n v="7000"/>
    <n v="3"/>
    <n v="0.14285714285714285"/>
    <n v="3"/>
    <n v="4"/>
    <n v="0.19047619047619047"/>
    <n v="6"/>
    <n v="2"/>
    <n v="0.1"/>
    <n v="2"/>
    <n v="2"/>
    <n v="3"/>
    <n v="0.1"/>
    <n v="0.43902439024390244"/>
    <n v="0.53902439024390247"/>
  </r>
  <r>
    <s v="N100"/>
    <s v="N705"/>
    <x v="6"/>
    <s v="Barone"/>
    <x v="71"/>
    <s v="DE"/>
    <n v="7000"/>
    <n v="2"/>
    <n v="9.5238095238095233E-2"/>
    <n v="2"/>
    <n v="4"/>
    <n v="0.19047619047619047"/>
    <n v="5"/>
    <n v="2"/>
    <n v="0.1"/>
    <n v="2"/>
    <n v="3"/>
    <n v="4"/>
    <n v="0.15"/>
    <n v="0.41463414634146345"/>
    <n v="0.51463414634146343"/>
  </r>
  <r>
    <s v="N250"/>
    <s v="N720"/>
    <x v="7"/>
    <s v="Erdem"/>
    <x v="72"/>
    <s v="DE"/>
    <n v="7000"/>
    <n v="2"/>
    <n v="9.5238095238095233E-2"/>
    <n v="2"/>
    <n v="0"/>
    <n v="0"/>
    <n v="0"/>
    <n v="1"/>
    <n v="0.05"/>
    <n v="1"/>
    <n v="0"/>
    <n v="0"/>
    <n v="0"/>
    <n v="0.24390243902439027"/>
    <n v="0.29390243902439028"/>
  </r>
  <r>
    <s v="N151"/>
    <s v="N760"/>
    <x v="8"/>
    <s v="Blumenstock"/>
    <x v="73"/>
    <s v="DE"/>
    <n v="7000"/>
    <n v="46"/>
    <n v="2.1904761904761907"/>
    <n v="48"/>
    <n v="33"/>
    <n v="1.5714285714285714"/>
    <n v="44"/>
    <n v="45"/>
    <n v="2.25"/>
    <n v="52"/>
    <n v="32"/>
    <n v="39"/>
    <n v="1.6"/>
    <n v="1.878048780487805"/>
    <n v="4.1280487804878048"/>
  </r>
  <r>
    <s v="N151"/>
    <s v="N760"/>
    <x v="8"/>
    <s v="Blumenstock"/>
    <x v="74"/>
    <s v="DE"/>
    <n v="7000"/>
    <n v="23"/>
    <n v="1.0952380952380953"/>
    <n v="25"/>
    <n v="11"/>
    <n v="0.52380952380952384"/>
    <n v="12"/>
    <n v="25"/>
    <n v="1.25"/>
    <n v="32"/>
    <n v="9"/>
    <n v="11"/>
    <n v="0.45"/>
    <n v="0.73170731707317072"/>
    <n v="1.9817073170731707"/>
  </r>
  <r>
    <s v="N151"/>
    <s v="N760"/>
    <x v="8"/>
    <s v="Blumenstock"/>
    <x v="75"/>
    <s v="DE"/>
    <n v="7000"/>
    <n v="13"/>
    <n v="0.61904761904761907"/>
    <n v="13"/>
    <n v="5"/>
    <n v="0.23809523809523808"/>
    <n v="5"/>
    <n v="8"/>
    <n v="0.4"/>
    <n v="8"/>
    <n v="6"/>
    <n v="6"/>
    <n v="0.3"/>
    <n v="1.024390243902439"/>
    <n v="1.424390243902439"/>
  </r>
  <r>
    <s v="N151"/>
    <s v="N760"/>
    <x v="8"/>
    <s v="Blumenstock"/>
    <x v="76"/>
    <s v="DE"/>
    <n v="7000"/>
    <n v="10"/>
    <n v="0.47619047619047616"/>
    <n v="10"/>
    <n v="11"/>
    <n v="0.52380952380952384"/>
    <n v="11"/>
    <n v="12"/>
    <n v="0.6"/>
    <n v="12"/>
    <n v="12"/>
    <n v="13"/>
    <n v="0.6"/>
    <n v="0.21951219512195122"/>
    <n v="0.81951219512195117"/>
  </r>
  <r>
    <s v="N151"/>
    <s v="N760"/>
    <x v="8"/>
    <s v="Blumenstock"/>
    <x v="77"/>
    <s v="DE"/>
    <n v="7000"/>
    <n v="6"/>
    <n v="0.2857142857142857"/>
    <n v="6"/>
    <n v="0"/>
    <n v="0"/>
    <n v="0"/>
    <n v="3"/>
    <n v="0.15"/>
    <n v="3"/>
    <n v="0"/>
    <n v="0"/>
    <n v="0"/>
    <n v="0.1951219512195122"/>
    <n v="0.34512195121951217"/>
  </r>
  <r>
    <s v="N151"/>
    <s v="N760"/>
    <x v="2"/>
    <s v="Blumenstock"/>
    <x v="78"/>
    <s v="DE"/>
    <n v="7000"/>
    <n v="2"/>
    <n v="9.5238095238095233E-2"/>
    <n v="2"/>
    <n v="1"/>
    <n v="4.7619047619047616E-2"/>
    <n v="1"/>
    <n v="0"/>
    <n v="0"/>
    <n v="0"/>
    <n v="0"/>
    <n v="0"/>
    <n v="0"/>
    <n v="4.878048780487805E-2"/>
    <n v="4.878048780487805E-2"/>
  </r>
  <r>
    <s v="N151"/>
    <s v="N760"/>
    <x v="8"/>
    <s v="Blumenstock"/>
    <x v="79"/>
    <s v="DE"/>
    <n v="7000"/>
    <n v="0"/>
    <n v="0"/>
    <n v="0"/>
    <n v="0"/>
    <n v="0"/>
    <n v="0"/>
    <n v="0"/>
    <n v="0"/>
    <n v="0"/>
    <n v="0"/>
    <n v="0"/>
    <n v="0"/>
    <n v="0.17073170731707316"/>
    <n v="0.17073170731707316"/>
  </r>
  <r>
    <s v="N151"/>
    <s v="N760"/>
    <x v="8"/>
    <s v="Blumenstock"/>
    <x v="80"/>
    <s v="DE"/>
    <n v="7000"/>
    <n v="0"/>
    <n v="0"/>
    <n v="0"/>
    <n v="3"/>
    <n v="0.14285714285714285"/>
    <n v="3"/>
    <n v="1"/>
    <n v="0.05"/>
    <n v="1"/>
    <n v="3"/>
    <n v="4"/>
    <n v="0.15"/>
    <n v="0.43902439024390244"/>
    <n v="0.48902439024390243"/>
  </r>
  <r>
    <s v="N151"/>
    <s v="N760"/>
    <x v="8"/>
    <s v="Blumenstock"/>
    <x v="81"/>
    <s v="DE"/>
    <n v="7000"/>
    <n v="0"/>
    <n v="0"/>
    <n v="0"/>
    <n v="0"/>
    <n v="0"/>
    <n v="0"/>
    <n v="2"/>
    <n v="0.1"/>
    <n v="2"/>
    <n v="1"/>
    <n v="1"/>
    <n v="0.05"/>
    <n v="0.26829268292682928"/>
    <n v="0.36829268292682926"/>
  </r>
  <r>
    <s v="N151"/>
    <s v="N760"/>
    <x v="2"/>
    <s v="Blumenstock"/>
    <x v="82"/>
    <s v="DE"/>
    <n v="7000"/>
    <n v="4"/>
    <n v="0.19047619047619047"/>
    <n v="4"/>
    <n v="0"/>
    <n v="0"/>
    <n v="0"/>
    <n v="2"/>
    <n v="0.1"/>
    <n v="2"/>
    <n v="0"/>
    <n v="0"/>
    <n v="0"/>
    <n v="0.29268292682926833"/>
    <n v="0.39268292682926831"/>
  </r>
  <r>
    <s v="N151"/>
    <s v="N760"/>
    <x v="8"/>
    <s v="Blumenstock"/>
    <x v="83"/>
    <s v="DE"/>
    <n v="7000"/>
    <n v="1"/>
    <n v="4.7619047619047616E-2"/>
    <n v="1"/>
    <n v="0"/>
    <n v="0"/>
    <n v="0"/>
    <n v="2"/>
    <n v="0.1"/>
    <n v="2"/>
    <n v="1"/>
    <n v="1"/>
    <n v="0.05"/>
    <n v="7.3170731707317083E-2"/>
    <n v="0.17317073170731709"/>
  </r>
  <r>
    <s v="N151"/>
    <s v="N760"/>
    <x v="2"/>
    <s v="Blumenstock"/>
    <x v="84"/>
    <s v="DE"/>
    <n v="7000"/>
    <n v="0"/>
    <n v="0"/>
    <n v="0"/>
    <n v="3"/>
    <n v="0.14285714285714285"/>
    <n v="3"/>
    <n v="2"/>
    <n v="0.1"/>
    <n v="2"/>
    <n v="0"/>
    <n v="0"/>
    <n v="0"/>
    <n v="0.14634146341463417"/>
    <n v="0.24634146341463417"/>
  </r>
  <r>
    <s v="N151"/>
    <s v="N760"/>
    <x v="8"/>
    <s v="Blumenstock"/>
    <x v="85"/>
    <s v="DE"/>
    <n v="7000"/>
    <n v="0"/>
    <n v="0"/>
    <n v="0"/>
    <n v="0"/>
    <n v="0"/>
    <n v="0"/>
    <n v="0"/>
    <n v="0"/>
    <n v="0"/>
    <n v="0"/>
    <n v="0"/>
    <n v="0"/>
    <n v="2.4390243902439025E-2"/>
    <n v="2.4390243902439025E-2"/>
  </r>
  <r>
    <s v="N103"/>
    <s v="N770"/>
    <x v="9"/>
    <s v="Barone"/>
    <x v="86"/>
    <s v="DE"/>
    <n v="7000"/>
    <n v="51"/>
    <n v="2.4285714285714284"/>
    <n v="56"/>
    <n v="6"/>
    <n v="0.2857142857142857"/>
    <n v="6"/>
    <n v="58"/>
    <n v="2.9"/>
    <n v="66"/>
    <n v="6"/>
    <n v="6"/>
    <n v="0.3"/>
    <n v="2.2000000000000002"/>
    <n v="5.0999999999999996"/>
  </r>
  <r>
    <s v="N103"/>
    <s v="N770"/>
    <x v="9"/>
    <s v="Barone"/>
    <x v="87"/>
    <s v="DE"/>
    <n v="7000"/>
    <n v="16"/>
    <n v="0.76190476190476186"/>
    <n v="17"/>
    <n v="4"/>
    <n v="0.19047619047619047"/>
    <n v="6"/>
    <n v="17"/>
    <n v="0.85"/>
    <n v="18"/>
    <n v="3"/>
    <n v="4"/>
    <n v="0.15"/>
    <n v="0.6"/>
    <n v="1.45"/>
  </r>
  <r>
    <s v="N103"/>
    <s v="N770"/>
    <x v="9"/>
    <s v="Barone"/>
    <x v="88"/>
    <s v="DE"/>
    <n v="7000"/>
    <n v="1"/>
    <n v="4.7619047619047616E-2"/>
    <n v="1"/>
    <n v="0"/>
    <n v="0"/>
    <n v="0"/>
    <n v="4"/>
    <n v="0.2"/>
    <n v="4"/>
    <n v="0"/>
    <n v="0"/>
    <n v="0"/>
    <n v="0.1"/>
    <n v="0.30000000000000004"/>
  </r>
  <r>
    <s v="N103"/>
    <s v="N770"/>
    <x v="9"/>
    <s v="Barone"/>
    <x v="89"/>
    <s v="DE"/>
    <n v="7000"/>
    <n v="7"/>
    <n v="0.33333333333333331"/>
    <n v="7"/>
    <n v="1"/>
    <n v="4.7619047619047616E-2"/>
    <n v="1"/>
    <n v="11"/>
    <n v="0.55000000000000004"/>
    <n v="11"/>
    <n v="0"/>
    <n v="0"/>
    <n v="0"/>
    <n v="0.4"/>
    <n v="0.95000000000000007"/>
  </r>
  <r>
    <s v="N103"/>
    <s v="N770"/>
    <x v="9"/>
    <s v="Barone"/>
    <x v="90"/>
    <s v="DE"/>
    <n v="7000"/>
    <n v="4"/>
    <n v="0.19047619047619047"/>
    <n v="4"/>
    <n v="0"/>
    <n v="0"/>
    <n v="0"/>
    <n v="3"/>
    <n v="0.15"/>
    <n v="3"/>
    <n v="0"/>
    <n v="0"/>
    <n v="0"/>
    <n v="0.2"/>
    <n v="0.35"/>
  </r>
  <r>
    <s v="N103"/>
    <s v="N770"/>
    <x v="9"/>
    <s v="Barone"/>
    <x v="91"/>
    <s v="DE"/>
    <n v="7000"/>
    <n v="8"/>
    <n v="0.38095238095238093"/>
    <n v="8"/>
    <n v="0"/>
    <n v="0"/>
    <n v="0"/>
    <n v="7"/>
    <n v="0.35"/>
    <n v="7"/>
    <n v="0"/>
    <n v="0"/>
    <n v="0"/>
    <n v="0.2"/>
    <n v="0.55000000000000004"/>
  </r>
  <r>
    <s v="N103"/>
    <s v="N770"/>
    <x v="9"/>
    <s v="Barone"/>
    <x v="92"/>
    <s v="DE"/>
    <n v="7000"/>
    <n v="2"/>
    <n v="9.5238095238095233E-2"/>
    <n v="2"/>
    <n v="0"/>
    <n v="0"/>
    <n v="0"/>
    <n v="8"/>
    <n v="0.4"/>
    <n v="8"/>
    <n v="0"/>
    <n v="0"/>
    <n v="0"/>
    <n v="0.4"/>
    <n v="0.8"/>
  </r>
  <r>
    <s v="N103"/>
    <s v="N770"/>
    <x v="9"/>
    <s v="Barone"/>
    <x v="93"/>
    <s v="DE"/>
    <n v="7000"/>
    <n v="5"/>
    <n v="0.23809523809523808"/>
    <n v="6"/>
    <n v="8"/>
    <n v="0.38095238095238093"/>
    <n v="9"/>
    <n v="7"/>
    <n v="0.35"/>
    <n v="7"/>
    <n v="10"/>
    <n v="21"/>
    <n v="0.5"/>
    <n v="0.4"/>
    <n v="0.75"/>
  </r>
  <r>
    <s v="N103"/>
    <s v="N770"/>
    <x v="9"/>
    <s v="Barone"/>
    <x v="94"/>
    <s v="DE"/>
    <n v="7000"/>
    <n v="0"/>
    <n v="0"/>
    <n v="0"/>
    <n v="0"/>
    <n v="0"/>
    <n v="0"/>
    <n v="0"/>
    <n v="0"/>
    <n v="0"/>
    <n v="0"/>
    <n v="0"/>
    <n v="0"/>
    <n v="0.2"/>
    <n v="0.2"/>
  </r>
  <r>
    <s v="N103"/>
    <s v="N770"/>
    <x v="9"/>
    <s v="Barone"/>
    <x v="95"/>
    <s v="DE"/>
    <n v="7000"/>
    <n v="3"/>
    <n v="0.14285714285714285"/>
    <n v="3"/>
    <n v="5"/>
    <n v="0.23809523809523808"/>
    <n v="5"/>
    <n v="2"/>
    <n v="0.1"/>
    <n v="2"/>
    <n v="6"/>
    <n v="6"/>
    <n v="0.3"/>
    <n v="0.4"/>
    <n v="0.5"/>
  </r>
  <r>
    <s v="N103"/>
    <s v="N770"/>
    <x v="9"/>
    <s v="Barone"/>
    <x v="96"/>
    <s v="DE"/>
    <n v="7000"/>
    <n v="0"/>
    <n v="0"/>
    <n v="0"/>
    <n v="0"/>
    <n v="0"/>
    <n v="0"/>
    <n v="0"/>
    <n v="0"/>
    <n v="0"/>
    <n v="0"/>
    <n v="0"/>
    <n v="0"/>
    <n v="0.1"/>
    <n v="0.1"/>
  </r>
  <r>
    <s v="N103"/>
    <s v="N770"/>
    <x v="9"/>
    <s v="Barone"/>
    <x v="97"/>
    <s v="DE"/>
    <n v="7000"/>
    <n v="0"/>
    <n v="0"/>
    <n v="0"/>
    <n v="1"/>
    <n v="4.7619047619047616E-2"/>
    <n v="1"/>
    <n v="1"/>
    <n v="0.05"/>
    <n v="1"/>
    <n v="3"/>
    <n v="3"/>
    <n v="0.15"/>
    <n v="0.3"/>
    <n v="0.35"/>
  </r>
  <r>
    <s v="N103"/>
    <s v="N770"/>
    <x v="9"/>
    <s v="Barone"/>
    <x v="98"/>
    <s v="DE"/>
    <n v="7000"/>
    <n v="1"/>
    <n v="4.7619047619047616E-2"/>
    <n v="1"/>
    <n v="0"/>
    <n v="0"/>
    <n v="0"/>
    <n v="1"/>
    <n v="0.05"/>
    <n v="1"/>
    <n v="0"/>
    <n v="0"/>
    <n v="0"/>
    <n v="0.1"/>
    <n v="0.15000000000000002"/>
  </r>
  <r>
    <s v="N103"/>
    <s v="N770"/>
    <x v="9"/>
    <s v="Barone"/>
    <x v="99"/>
    <s v="DE"/>
    <n v="7000"/>
    <n v="0"/>
    <n v="0"/>
    <n v="0"/>
    <n v="0"/>
    <n v="0"/>
    <n v="0"/>
    <n v="0"/>
    <n v="0"/>
    <n v="0"/>
    <n v="0"/>
    <n v="0"/>
    <n v="0"/>
    <n v="0"/>
    <n v="0"/>
  </r>
  <r>
    <s v="N252"/>
    <s v="N742"/>
    <x v="10"/>
    <s v="Erdem"/>
    <x v="100"/>
    <s v="DE"/>
    <n v="7000"/>
    <n v="14"/>
    <n v="0.66666666666666663"/>
    <n v="14"/>
    <n v="2"/>
    <n v="9.5238095238095233E-2"/>
    <n v="2"/>
    <n v="17"/>
    <n v="0.85"/>
    <n v="18"/>
    <n v="1"/>
    <n v="1"/>
    <n v="0.05"/>
    <n v="0.7"/>
    <n v="1.5499999999999998"/>
  </r>
  <r>
    <s v="N252"/>
    <s v="N742"/>
    <x v="10"/>
    <s v="Erdem"/>
    <x v="101"/>
    <s v="DE"/>
    <n v="7000"/>
    <n v="30"/>
    <n v="1.4285714285714286"/>
    <n v="34"/>
    <n v="16"/>
    <n v="0.76190476190476186"/>
    <n v="33"/>
    <n v="43"/>
    <n v="2.15"/>
    <n v="45"/>
    <n v="21"/>
    <n v="47"/>
    <n v="1.05"/>
    <n v="2.1"/>
    <n v="4.25"/>
  </r>
  <r>
    <s v="N252"/>
    <s v="N742"/>
    <x v="10"/>
    <s v="Erdem"/>
    <x v="102"/>
    <s v="DE"/>
    <n v="7000"/>
    <n v="2"/>
    <n v="9.5238095238095233E-2"/>
    <n v="2"/>
    <n v="0"/>
    <n v="0"/>
    <n v="0"/>
    <n v="6"/>
    <n v="0.3"/>
    <n v="7"/>
    <n v="0"/>
    <n v="0"/>
    <n v="0"/>
    <n v="0.3"/>
    <n v="0.6"/>
  </r>
  <r>
    <s v="N252"/>
    <s v="N742"/>
    <x v="10"/>
    <s v="Erdem"/>
    <x v="103"/>
    <s v="DE"/>
    <n v="7000"/>
    <n v="12"/>
    <n v="0.5714285714285714"/>
    <n v="13"/>
    <n v="10"/>
    <n v="0.47619047619047616"/>
    <n v="12"/>
    <n v="6"/>
    <n v="0.3"/>
    <n v="6"/>
    <n v="12"/>
    <n v="16"/>
    <n v="0.6"/>
    <n v="0.2"/>
    <n v="0.5"/>
  </r>
  <r>
    <s v="N252"/>
    <s v="N742"/>
    <x v="10"/>
    <s v="Erdem"/>
    <x v="104"/>
    <s v="DE"/>
    <n v="7000"/>
    <n v="11"/>
    <n v="0.52380952380952384"/>
    <n v="11"/>
    <n v="5"/>
    <n v="0.23809523809523808"/>
    <n v="5"/>
    <n v="9"/>
    <n v="0.45"/>
    <n v="9"/>
    <n v="7"/>
    <n v="7"/>
    <n v="0.35"/>
    <n v="0.8"/>
    <n v="1.25"/>
  </r>
  <r>
    <s v="N252"/>
    <s v="N742"/>
    <x v="11"/>
    <s v="Erdem"/>
    <x v="105"/>
    <s v="DE"/>
    <n v="7000"/>
    <n v="5"/>
    <n v="0.23809523809523808"/>
    <n v="9"/>
    <n v="1"/>
    <n v="4.7619047619047616E-2"/>
    <n v="1"/>
    <n v="10"/>
    <n v="0.5"/>
    <n v="12"/>
    <n v="2"/>
    <n v="2"/>
    <n v="0.1"/>
    <n v="0.5"/>
    <n v="1"/>
  </r>
  <r>
    <s v="N252"/>
    <s v="N742"/>
    <x v="10"/>
    <s v="Erdem"/>
    <x v="106"/>
    <s v="DE"/>
    <n v="7000"/>
    <n v="17"/>
    <n v="0.80952380952380953"/>
    <n v="17"/>
    <n v="7"/>
    <n v="0.33333333333333331"/>
    <n v="9"/>
    <n v="17"/>
    <n v="0.85"/>
    <n v="19"/>
    <n v="14"/>
    <n v="18"/>
    <n v="0.7"/>
    <n v="0.4"/>
    <n v="1.25"/>
  </r>
  <r>
    <s v="N252"/>
    <s v="N742"/>
    <x v="11"/>
    <s v="Erdem"/>
    <x v="107"/>
    <s v="DE"/>
    <n v="7000"/>
    <n v="18"/>
    <n v="0.8571428571428571"/>
    <n v="18"/>
    <n v="13"/>
    <n v="0.61904761904761907"/>
    <n v="15"/>
    <n v="19"/>
    <n v="0.95"/>
    <n v="21"/>
    <n v="15"/>
    <n v="18"/>
    <n v="0.75"/>
    <n v="0.8"/>
    <n v="1.75"/>
  </r>
  <r>
    <s v="N252"/>
    <s v="N742"/>
    <x v="10"/>
    <s v="Erdem"/>
    <x v="108"/>
    <s v="DE"/>
    <n v="7000"/>
    <n v="14"/>
    <n v="0.66666666666666663"/>
    <n v="14"/>
    <n v="5"/>
    <n v="0.23809523809523808"/>
    <n v="6"/>
    <n v="26"/>
    <n v="1.3"/>
    <n v="29"/>
    <n v="6"/>
    <n v="8"/>
    <n v="0.3"/>
    <n v="1.2"/>
    <n v="2.5"/>
  </r>
  <r>
    <s v="N252"/>
    <s v="N742"/>
    <x v="9"/>
    <s v="Erdem"/>
    <x v="109"/>
    <s v="DE"/>
    <n v="7000"/>
    <n v="8"/>
    <n v="0.38095238095238093"/>
    <n v="8"/>
    <n v="2"/>
    <n v="9.5238095238095233E-2"/>
    <n v="2"/>
    <n v="26"/>
    <n v="1.3"/>
    <n v="27"/>
    <n v="2"/>
    <n v="2"/>
    <n v="0.1"/>
    <n v="1"/>
    <n v="2.2999999999999998"/>
  </r>
  <r>
    <s v="N252"/>
    <s v="N742"/>
    <x v="11"/>
    <s v="Erdem"/>
    <x v="110"/>
    <s v="DE"/>
    <n v="7000"/>
    <n v="1"/>
    <n v="4.7619047619047616E-2"/>
    <n v="1"/>
    <n v="0"/>
    <n v="0"/>
    <n v="0"/>
    <n v="9"/>
    <n v="0.45"/>
    <n v="10"/>
    <n v="2"/>
    <n v="2"/>
    <n v="0.1"/>
    <n v="0.2"/>
    <n v="0.65"/>
  </r>
  <r>
    <s v="N103"/>
    <s v="N770"/>
    <x v="11"/>
    <s v="Barone"/>
    <x v="111"/>
    <s v="DE"/>
    <n v="7000"/>
    <n v="5"/>
    <n v="0.23809523809523808"/>
    <n v="5"/>
    <n v="1"/>
    <n v="4.7619047619047616E-2"/>
    <n v="1"/>
    <n v="2"/>
    <n v="0.1"/>
    <n v="2"/>
    <n v="1"/>
    <n v="1"/>
    <n v="0.05"/>
    <n v="0.4"/>
    <n v="0.5"/>
  </r>
  <r>
    <s v="N252"/>
    <s v="N742"/>
    <x v="11"/>
    <s v="Erdem"/>
    <x v="112"/>
    <s v="DE"/>
    <n v="7000"/>
    <n v="9"/>
    <n v="0.42857142857142855"/>
    <n v="9"/>
    <n v="6"/>
    <n v="0.2857142857142857"/>
    <n v="7"/>
    <n v="2"/>
    <n v="0.1"/>
    <n v="2"/>
    <n v="4"/>
    <n v="4"/>
    <n v="0.2"/>
    <n v="0.4"/>
    <n v="0.5"/>
  </r>
  <r>
    <s v="N103"/>
    <s v="N770"/>
    <x v="9"/>
    <s v="Barone"/>
    <x v="113"/>
    <s v="DE"/>
    <n v="7000"/>
    <n v="0"/>
    <n v="0"/>
    <n v="0"/>
    <n v="0"/>
    <n v="0"/>
    <n v="0"/>
    <n v="2"/>
    <n v="0.1"/>
    <n v="2"/>
    <n v="0"/>
    <n v="0"/>
    <n v="0"/>
    <n v="0.5"/>
    <n v="0.6"/>
  </r>
  <r>
    <s v="N252"/>
    <s v="N742"/>
    <x v="11"/>
    <s v="Erdem"/>
    <x v="114"/>
    <s v="DE"/>
    <n v="7000"/>
    <n v="65"/>
    <n v="3.0952380952380953"/>
    <n v="65"/>
    <n v="43"/>
    <n v="2.0476190476190474"/>
    <n v="56"/>
    <n v="84"/>
    <n v="4.2"/>
    <n v="86"/>
    <n v="46"/>
    <n v="49"/>
    <n v="2.2999999999999998"/>
    <n v="2.4878048780487809"/>
    <n v="6.6878048780487811"/>
  </r>
  <r>
    <s v="N252"/>
    <s v="N742"/>
    <x v="11"/>
    <s v="Erdem"/>
    <x v="115"/>
    <s v="DE"/>
    <n v="7000"/>
    <n v="2"/>
    <n v="9.5238095238095233E-2"/>
    <n v="2"/>
    <n v="0"/>
    <n v="0"/>
    <n v="0"/>
    <n v="2"/>
    <n v="0.1"/>
    <n v="2"/>
    <n v="0"/>
    <n v="0"/>
    <n v="0"/>
    <n v="0.29268292682926828"/>
    <n v="0.39268292682926831"/>
  </r>
  <r>
    <s v="N252"/>
    <s v="N742"/>
    <x v="11"/>
    <s v="Erdem"/>
    <x v="116"/>
    <s v="DE"/>
    <n v="7000"/>
    <n v="1"/>
    <n v="4.7619047619047616E-2"/>
    <n v="1"/>
    <n v="2"/>
    <n v="9.5238095238095233E-2"/>
    <n v="2"/>
    <n v="4"/>
    <n v="0.2"/>
    <n v="4"/>
    <n v="5"/>
    <n v="5"/>
    <n v="0.25"/>
    <n v="0.78048780487804881"/>
    <n v="0.98048780487804876"/>
  </r>
  <r>
    <s v="N252"/>
    <s v="N742"/>
    <x v="11"/>
    <s v="Erdem"/>
    <x v="117"/>
    <s v="DE"/>
    <n v="7000"/>
    <n v="1"/>
    <n v="4.7619047619047616E-2"/>
    <n v="1"/>
    <n v="0"/>
    <n v="0"/>
    <n v="0"/>
    <n v="1"/>
    <n v="0.05"/>
    <n v="1"/>
    <n v="0"/>
    <n v="0"/>
    <n v="0"/>
    <n v="2.4390243902439025E-2"/>
    <n v="7.4390243902439035E-2"/>
  </r>
  <r>
    <s v="N252"/>
    <s v="N742"/>
    <x v="11"/>
    <s v="Erdem"/>
    <x v="118"/>
    <s v="DE"/>
    <n v="7000"/>
    <n v="1"/>
    <n v="4.7619047619047616E-2"/>
    <n v="1"/>
    <n v="0"/>
    <n v="0"/>
    <n v="0"/>
    <n v="0"/>
    <n v="0"/>
    <n v="0"/>
    <n v="1"/>
    <n v="1"/>
    <n v="0.05"/>
    <n v="4.878048780487805E-2"/>
    <n v="4.878048780487805E-2"/>
  </r>
  <r>
    <s v="N150"/>
    <s v="N712"/>
    <x v="12"/>
    <s v="Blumenstock"/>
    <x v="119"/>
    <s v="DE"/>
    <n v="7000"/>
    <n v="16"/>
    <n v="0.76190476190476186"/>
    <n v="17"/>
    <n v="3"/>
    <n v="0.14285714285714285"/>
    <n v="5"/>
    <n v="14"/>
    <n v="0.7"/>
    <n v="19"/>
    <n v="3"/>
    <n v="4"/>
    <n v="0.15"/>
    <n v="0.8"/>
    <n v="1.5"/>
  </r>
  <r>
    <s v="N150"/>
    <s v="N712"/>
    <x v="12"/>
    <s v="Blumenstock"/>
    <x v="120"/>
    <s v="DE"/>
    <n v="7000"/>
    <n v="39"/>
    <n v="1.8571428571428572"/>
    <n v="43"/>
    <n v="1"/>
    <n v="4.7619047619047616E-2"/>
    <n v="1"/>
    <n v="43"/>
    <n v="2.15"/>
    <n v="44"/>
    <n v="1"/>
    <n v="1"/>
    <n v="0.05"/>
    <n v="2.1"/>
    <n v="4.25"/>
  </r>
  <r>
    <s v="N150"/>
    <s v="N712"/>
    <x v="12"/>
    <s v="Blumenstock"/>
    <x v="121"/>
    <s v="DE"/>
    <n v="7000"/>
    <n v="16"/>
    <n v="0.76190476190476186"/>
    <n v="17"/>
    <n v="1"/>
    <n v="4.7619047619047616E-2"/>
    <n v="1"/>
    <n v="15"/>
    <n v="0.75"/>
    <n v="15"/>
    <n v="1"/>
    <n v="1"/>
    <n v="0.05"/>
    <n v="0.8"/>
    <n v="1.55"/>
  </r>
  <r>
    <s v="N150"/>
    <s v="N712"/>
    <x v="12"/>
    <s v="Blumenstock"/>
    <x v="122"/>
    <s v="DE"/>
    <n v="7000"/>
    <n v="13"/>
    <n v="0.61904761904761907"/>
    <n v="18"/>
    <n v="1"/>
    <n v="4.7619047619047616E-2"/>
    <n v="1"/>
    <n v="12"/>
    <n v="0.6"/>
    <n v="14"/>
    <n v="2"/>
    <n v="2"/>
    <n v="0.1"/>
    <n v="0.8"/>
    <n v="1.4"/>
  </r>
  <r>
    <s v="N150"/>
    <s v="N712"/>
    <x v="12"/>
    <s v="Blumenstock"/>
    <x v="123"/>
    <s v="DE"/>
    <n v="7000"/>
    <n v="0"/>
    <n v="0"/>
    <n v="0"/>
    <n v="0"/>
    <n v="0"/>
    <n v="0"/>
    <n v="1"/>
    <n v="0.05"/>
    <n v="1"/>
    <n v="0"/>
    <n v="0"/>
    <n v="0"/>
    <n v="0.1"/>
    <n v="0.15000000000000002"/>
  </r>
  <r>
    <s v="N150"/>
    <s v="N712"/>
    <x v="13"/>
    <s v="Blumenstock"/>
    <x v="124"/>
    <s v="DE"/>
    <n v="7000"/>
    <n v="6"/>
    <n v="0.2857142857142857"/>
    <n v="6"/>
    <n v="0"/>
    <n v="0"/>
    <n v="0"/>
    <n v="7"/>
    <n v="0.35"/>
    <n v="7"/>
    <n v="1"/>
    <n v="1"/>
    <n v="0.05"/>
    <n v="0.5"/>
    <n v="0.85"/>
  </r>
  <r>
    <s v="N150"/>
    <s v="N712"/>
    <x v="13"/>
    <s v="Blumenstock"/>
    <x v="125"/>
    <s v="DE"/>
    <n v="7000"/>
    <n v="28"/>
    <n v="1.3333333333333333"/>
    <n v="29"/>
    <n v="41"/>
    <n v="1.9523809523809523"/>
    <n v="67"/>
    <n v="27"/>
    <n v="1.35"/>
    <n v="28"/>
    <n v="32"/>
    <n v="54"/>
    <n v="1.6"/>
    <n v="4"/>
    <n v="5.35"/>
  </r>
  <r>
    <s v="N150"/>
    <s v="N712"/>
    <x v="12"/>
    <s v="Blumenstock"/>
    <x v="126"/>
    <s v="DE"/>
    <n v="7000"/>
    <n v="10"/>
    <n v="0.47619047619047616"/>
    <n v="10"/>
    <n v="6"/>
    <n v="0.2857142857142857"/>
    <n v="6"/>
    <n v="9"/>
    <n v="0.45"/>
    <n v="9"/>
    <n v="7"/>
    <n v="8"/>
    <n v="0.35"/>
    <n v="0.8"/>
    <n v="1.25"/>
  </r>
  <r>
    <s v="N150"/>
    <s v="N712"/>
    <x v="12"/>
    <s v="Blumenstock"/>
    <x v="127"/>
    <s v="DE"/>
    <n v="7000"/>
    <n v="6"/>
    <n v="0.2857142857142857"/>
    <n v="6"/>
    <n v="1"/>
    <n v="4.7619047619047616E-2"/>
    <n v="1"/>
    <n v="4"/>
    <n v="0.2"/>
    <n v="4"/>
    <n v="1"/>
    <n v="1"/>
    <n v="0.05"/>
    <n v="0.5"/>
    <n v="0.7"/>
  </r>
  <r>
    <s v="N150"/>
    <s v="N712"/>
    <x v="12"/>
    <s v="Blumenstock"/>
    <x v="128"/>
    <s v="DE"/>
    <n v="7000"/>
    <n v="11"/>
    <n v="0.52380952380952384"/>
    <n v="11"/>
    <n v="4"/>
    <n v="0.19047619047619047"/>
    <n v="4"/>
    <n v="15"/>
    <n v="0.75"/>
    <n v="15"/>
    <n v="3"/>
    <n v="3"/>
    <n v="0.15"/>
    <n v="0.8"/>
    <n v="1.55"/>
  </r>
  <r>
    <s v="N150"/>
    <s v="N712"/>
    <x v="12"/>
    <s v="Blumenstock"/>
    <x v="129"/>
    <s v="DE"/>
    <n v="7000"/>
    <n v="11"/>
    <n v="0.52380952380952384"/>
    <n v="11"/>
    <n v="5"/>
    <n v="0.23809523809523808"/>
    <n v="5"/>
    <n v="8"/>
    <n v="0.4"/>
    <n v="8"/>
    <n v="4"/>
    <n v="4"/>
    <n v="0.2"/>
    <n v="0.7"/>
    <n v="1.1000000000000001"/>
  </r>
  <r>
    <s v="N150"/>
    <s v="N712"/>
    <x v="13"/>
    <s v="Blumenstock"/>
    <x v="130"/>
    <s v="DE"/>
    <n v="7000"/>
    <n v="2"/>
    <n v="9.5238095238095233E-2"/>
    <n v="2"/>
    <n v="0"/>
    <n v="0"/>
    <n v="0"/>
    <n v="3"/>
    <n v="0.15"/>
    <n v="4"/>
    <n v="0"/>
    <n v="0"/>
    <n v="0"/>
    <n v="1.5"/>
    <n v="1.65"/>
  </r>
  <r>
    <s v="N150"/>
    <s v="N712"/>
    <x v="13"/>
    <s v="Blumenstock"/>
    <x v="131"/>
    <s v="DE"/>
    <n v="7000"/>
    <n v="1"/>
    <n v="4.7619047619047616E-2"/>
    <n v="1"/>
    <n v="0"/>
    <n v="0"/>
    <n v="0"/>
    <n v="2"/>
    <n v="0.1"/>
    <n v="2"/>
    <n v="0"/>
    <n v="0"/>
    <n v="0"/>
    <n v="0.1"/>
    <n v="0.2"/>
  </r>
  <r>
    <s v="N150"/>
    <s v="N712"/>
    <x v="14"/>
    <s v="Blumenstock"/>
    <x v="132"/>
    <s v="DE"/>
    <n v="7000"/>
    <n v="3"/>
    <n v="0.14285714285714285"/>
    <n v="3"/>
    <n v="1"/>
    <n v="4.7619047619047616E-2"/>
    <n v="1"/>
    <n v="4"/>
    <n v="0.2"/>
    <n v="4"/>
    <n v="3"/>
    <n v="3"/>
    <n v="0.15"/>
    <n v="0.6"/>
    <n v="0.8"/>
  </r>
  <r>
    <s v="N150"/>
    <s v="N712"/>
    <x v="14"/>
    <s v="Blumenstock"/>
    <x v="133"/>
    <s v="DE"/>
    <n v="7000"/>
    <n v="1"/>
    <n v="4.7619047619047616E-2"/>
    <n v="1"/>
    <n v="0"/>
    <n v="0"/>
    <n v="0"/>
    <n v="1"/>
    <n v="0.05"/>
    <n v="1"/>
    <n v="0"/>
    <n v="0"/>
    <n v="0"/>
    <n v="0.7"/>
    <n v="0.75"/>
  </r>
  <r>
    <s v="N150"/>
    <s v="N712"/>
    <x v="13"/>
    <s v="Blumenstock"/>
    <x v="134"/>
    <s v="DE"/>
    <n v="7000"/>
    <n v="0"/>
    <n v="0"/>
    <n v="0"/>
    <n v="0"/>
    <n v="0"/>
    <n v="0"/>
    <n v="0"/>
    <n v="0"/>
    <n v="0"/>
    <n v="0"/>
    <n v="0"/>
    <n v="0"/>
    <n v="0.1"/>
    <n v="0.1"/>
  </r>
  <r>
    <s v="N150"/>
    <s v="N712"/>
    <x v="13"/>
    <s v="Blumenstock"/>
    <x v="135"/>
    <s v="DE"/>
    <n v="7000"/>
    <n v="6"/>
    <n v="0.2857142857142857"/>
    <n v="6"/>
    <n v="8"/>
    <n v="0.38095238095238093"/>
    <n v="14"/>
    <n v="6"/>
    <n v="0.3"/>
    <n v="6"/>
    <n v="10"/>
    <n v="18"/>
    <n v="0.5"/>
    <n v="0.9"/>
    <n v="1.2"/>
  </r>
  <r>
    <s v="N150"/>
    <s v="N712"/>
    <x v="14"/>
    <s v="Blumenstock"/>
    <x v="136"/>
    <s v="DE"/>
    <n v="7000"/>
    <n v="2"/>
    <n v="9.5238095238095233E-2"/>
    <n v="2"/>
    <n v="0"/>
    <n v="0"/>
    <n v="0"/>
    <n v="3"/>
    <n v="0.15"/>
    <n v="4"/>
    <n v="1"/>
    <n v="1"/>
    <n v="0.05"/>
    <n v="0.9"/>
    <n v="1.05"/>
  </r>
  <r>
    <s v="N150"/>
    <s v="N712"/>
    <x v="13"/>
    <s v="Blumenstock"/>
    <x v="137"/>
    <s v="DE"/>
    <n v="7000"/>
    <n v="4"/>
    <n v="0.19047619047619047"/>
    <n v="5"/>
    <n v="3"/>
    <n v="0.14285714285714285"/>
    <n v="3"/>
    <n v="4"/>
    <n v="0.2"/>
    <n v="5"/>
    <n v="2"/>
    <n v="2"/>
    <n v="0.1"/>
    <n v="1.1000000000000001"/>
    <n v="1.3"/>
  </r>
  <r>
    <s v="N150"/>
    <s v="N712"/>
    <x v="13"/>
    <s v="Blumenstock"/>
    <x v="138"/>
    <s v="DE"/>
    <n v="7000"/>
    <n v="1"/>
    <n v="4.7619047619047616E-2"/>
    <n v="1"/>
    <n v="1"/>
    <n v="4.7619047619047616E-2"/>
    <n v="1"/>
    <n v="2"/>
    <n v="0.1"/>
    <n v="3"/>
    <n v="0"/>
    <n v="0"/>
    <n v="0"/>
    <n v="0.1"/>
    <n v="0.2"/>
  </r>
  <r>
    <s v="N150"/>
    <s v="N712"/>
    <x v="13"/>
    <s v="Blumenstock"/>
    <x v="139"/>
    <s v="DE"/>
    <n v="7000"/>
    <n v="1"/>
    <n v="4.7619047619047616E-2"/>
    <n v="1"/>
    <n v="14"/>
    <n v="0.66666666666666663"/>
    <n v="29"/>
    <n v="1"/>
    <n v="0.05"/>
    <n v="1"/>
    <n v="16"/>
    <n v="34"/>
    <n v="0.8"/>
    <n v="0.1"/>
    <n v="0.15000000000000002"/>
  </r>
  <r>
    <s v="N150"/>
    <s v="N712"/>
    <x v="13"/>
    <s v="Blumenstock"/>
    <x v="140"/>
    <s v="DE"/>
    <n v="7000"/>
    <n v="4"/>
    <n v="0.19047619047619047"/>
    <n v="4"/>
    <n v="0"/>
    <n v="0"/>
    <n v="0"/>
    <n v="2"/>
    <n v="0.1"/>
    <n v="2"/>
    <n v="0"/>
    <n v="0"/>
    <n v="0"/>
    <n v="1"/>
    <n v="1.1000000000000001"/>
  </r>
  <r>
    <s v="N201"/>
    <s v="N704"/>
    <x v="12"/>
    <s v="Kalazidis"/>
    <x v="141"/>
    <s v="DE"/>
    <n v="7000"/>
    <n v="5"/>
    <n v="0.23809523809523808"/>
    <n v="5"/>
    <n v="6"/>
    <n v="0.2857142857142857"/>
    <n v="6"/>
    <n v="6"/>
    <n v="0.3"/>
    <n v="6"/>
    <n v="2"/>
    <n v="2"/>
    <n v="0.1"/>
    <n v="0.2"/>
    <n v="0.5"/>
  </r>
  <r>
    <s v="N150"/>
    <s v="N712"/>
    <x v="13"/>
    <s v="Blumenstock"/>
    <x v="142"/>
    <s v="DE"/>
    <n v="7000"/>
    <n v="6"/>
    <n v="0.2857142857142857"/>
    <n v="7"/>
    <n v="1"/>
    <n v="4.7619047619047616E-2"/>
    <n v="1"/>
    <n v="4"/>
    <n v="0.2"/>
    <n v="4"/>
    <n v="0"/>
    <n v="0"/>
    <n v="0"/>
    <n v="0.17073170731707318"/>
    <n v="0.37073170731707317"/>
  </r>
  <r>
    <s v="N251"/>
    <s v="N741"/>
    <x v="15"/>
    <s v="Erdem"/>
    <x v="143"/>
    <s v="DE"/>
    <n v="7000"/>
    <n v="1"/>
    <n v="4.7619047619047616E-2"/>
    <n v="1"/>
    <n v="0"/>
    <n v="0"/>
    <n v="0"/>
    <n v="5"/>
    <n v="0.25"/>
    <n v="5"/>
    <n v="0"/>
    <n v="0"/>
    <n v="0"/>
    <n v="0.4"/>
    <n v="0.65"/>
  </r>
  <r>
    <s v="N251"/>
    <s v="N741"/>
    <x v="15"/>
    <s v="Erdem"/>
    <x v="144"/>
    <s v="DE"/>
    <n v="7000"/>
    <n v="3"/>
    <n v="0.14285714285714285"/>
    <n v="3"/>
    <n v="0"/>
    <n v="0"/>
    <n v="0"/>
    <n v="7"/>
    <n v="0.35"/>
    <n v="7"/>
    <n v="1"/>
    <n v="1"/>
    <n v="0.05"/>
    <n v="0.4"/>
    <n v="0.75"/>
  </r>
  <r>
    <s v="N251"/>
    <s v="N741"/>
    <x v="15"/>
    <s v="Erdem"/>
    <x v="145"/>
    <s v="DE"/>
    <n v="7000"/>
    <n v="2"/>
    <n v="9.5238095238095233E-2"/>
    <n v="2"/>
    <n v="1"/>
    <n v="4.7619047619047616E-2"/>
    <n v="1"/>
    <n v="6"/>
    <n v="0.3"/>
    <n v="6"/>
    <n v="1"/>
    <n v="3"/>
    <n v="0.05"/>
    <n v="0.5"/>
    <n v="0.8"/>
  </r>
  <r>
    <s v="N251"/>
    <s v="N741"/>
    <x v="16"/>
    <s v="Erdem"/>
    <x v="146"/>
    <s v="DE"/>
    <n v="7000"/>
    <n v="18"/>
    <n v="0.8571428571428571"/>
    <n v="19"/>
    <n v="0"/>
    <n v="0"/>
    <n v="0"/>
    <n v="8"/>
    <n v="0.4"/>
    <n v="8"/>
    <n v="0"/>
    <n v="0"/>
    <n v="0"/>
    <n v="0.80487804878048785"/>
    <n v="1.204878048780488"/>
  </r>
  <r>
    <s v="N251"/>
    <s v="N741"/>
    <x v="16"/>
    <s v="Erdem"/>
    <x v="147"/>
    <s v="DE"/>
    <n v="7000"/>
    <n v="14"/>
    <n v="0.66666666666666663"/>
    <n v="15"/>
    <n v="2"/>
    <n v="9.5238095238095233E-2"/>
    <n v="2"/>
    <n v="14"/>
    <n v="0.7"/>
    <n v="15"/>
    <n v="1"/>
    <n v="1"/>
    <n v="0.05"/>
    <n v="0.70731707317073189"/>
    <n v="1.4073170731707318"/>
  </r>
  <r>
    <s v="N251"/>
    <s v="N741"/>
    <x v="16"/>
    <s v="Erdem"/>
    <x v="148"/>
    <s v="DE"/>
    <n v="7000"/>
    <n v="1"/>
    <n v="4.7619047619047616E-2"/>
    <n v="1"/>
    <n v="1"/>
    <n v="4.7619047619047616E-2"/>
    <n v="1"/>
    <n v="2"/>
    <n v="0.1"/>
    <n v="2"/>
    <n v="0"/>
    <n v="0"/>
    <n v="0"/>
    <n v="0.48780487804878053"/>
    <n v="0.58780487804878057"/>
  </r>
  <r>
    <s v="N251"/>
    <s v="N741"/>
    <x v="15"/>
    <s v="Erdem"/>
    <x v="149"/>
    <s v="DE"/>
    <n v="7000"/>
    <n v="26"/>
    <n v="1.2380952380952381"/>
    <n v="26"/>
    <n v="0"/>
    <n v="0"/>
    <n v="0"/>
    <n v="15"/>
    <n v="0.75"/>
    <n v="15"/>
    <n v="1"/>
    <n v="1"/>
    <n v="0.05"/>
    <n v="0.65853658536585369"/>
    <n v="1.4085365853658538"/>
  </r>
  <r>
    <s v="N251"/>
    <s v="N741"/>
    <x v="15"/>
    <s v="Erdem"/>
    <x v="150"/>
    <s v="DE"/>
    <n v="7000"/>
    <n v="0"/>
    <n v="0"/>
    <n v="0"/>
    <n v="0"/>
    <n v="0"/>
    <n v="0"/>
    <n v="6"/>
    <n v="0.3"/>
    <n v="6"/>
    <n v="1"/>
    <n v="1"/>
    <n v="0.05"/>
    <n v="0.17073170731707316"/>
    <n v="0.47073170731707314"/>
  </r>
  <r>
    <s v="N251"/>
    <s v="N741"/>
    <x v="15"/>
    <s v="Erdem"/>
    <x v="151"/>
    <s v="DE"/>
    <n v="7000"/>
    <n v="2"/>
    <n v="9.5238095238095233E-2"/>
    <n v="2"/>
    <n v="2"/>
    <n v="9.5238095238095233E-2"/>
    <n v="2"/>
    <n v="4"/>
    <n v="0.2"/>
    <n v="5"/>
    <n v="0"/>
    <n v="0"/>
    <n v="0"/>
    <n v="0.31707317073170732"/>
    <n v="0.51707317073170733"/>
  </r>
  <r>
    <s v="N251"/>
    <s v="N741"/>
    <x v="15"/>
    <s v="Erdem"/>
    <x v="152"/>
    <s v="DE"/>
    <n v="7000"/>
    <n v="6"/>
    <n v="0.2857142857142857"/>
    <n v="6"/>
    <n v="1"/>
    <n v="4.7619047619047616E-2"/>
    <n v="1"/>
    <n v="8"/>
    <n v="0.4"/>
    <n v="9"/>
    <n v="2"/>
    <n v="2"/>
    <n v="0.1"/>
    <n v="0.56097560975609762"/>
    <n v="0.96097560975609764"/>
  </r>
  <r>
    <s v="N251"/>
    <s v="N741"/>
    <x v="15"/>
    <s v="Erdem"/>
    <x v="153"/>
    <s v="DE"/>
    <n v="7000"/>
    <n v="7"/>
    <n v="0.33333333333333331"/>
    <n v="7"/>
    <n v="0"/>
    <n v="0"/>
    <n v="0"/>
    <n v="8"/>
    <n v="0.4"/>
    <n v="9"/>
    <n v="0"/>
    <n v="0"/>
    <n v="0"/>
    <n v="0.29268292682926833"/>
    <n v="0.69268292682926835"/>
  </r>
  <r>
    <s v="N251"/>
    <s v="N741"/>
    <x v="15"/>
    <s v="Erdem"/>
    <x v="154"/>
    <s v="DE"/>
    <n v="7000"/>
    <n v="19"/>
    <n v="0.90476190476190477"/>
    <n v="19"/>
    <n v="1"/>
    <n v="4.7619047619047616E-2"/>
    <n v="1"/>
    <n v="31"/>
    <n v="1.55"/>
    <n v="32"/>
    <n v="2"/>
    <n v="2"/>
    <n v="0.1"/>
    <n v="2.9512195121951228"/>
    <n v="4.5012195121951226"/>
  </r>
  <r>
    <s v="N251"/>
    <s v="N741"/>
    <x v="15"/>
    <s v="Erdem"/>
    <x v="155"/>
    <s v="DE"/>
    <n v="7000"/>
    <n v="8"/>
    <n v="0.38095238095238093"/>
    <n v="8"/>
    <n v="4"/>
    <n v="0.19047619047619047"/>
    <n v="4"/>
    <n v="11"/>
    <n v="0.55000000000000004"/>
    <n v="11"/>
    <n v="3"/>
    <n v="3"/>
    <n v="0.15"/>
    <n v="0.29268292682926828"/>
    <n v="0.84268292682926838"/>
  </r>
  <r>
    <s v="N201"/>
    <s v="N704"/>
    <x v="17"/>
    <s v="Kalazidis"/>
    <x v="156"/>
    <s v="DE"/>
    <n v="7000"/>
    <n v="6"/>
    <n v="0.2857142857142857"/>
    <n v="7"/>
    <n v="0"/>
    <n v="0"/>
    <n v="0"/>
    <n v="8"/>
    <n v="0.4"/>
    <n v="9"/>
    <n v="0"/>
    <n v="0"/>
    <n v="0"/>
    <n v="0.3"/>
    <n v="0.7"/>
  </r>
  <r>
    <s v="N201"/>
    <s v="N704"/>
    <x v="17"/>
    <s v="Kalazidis"/>
    <x v="157"/>
    <s v="DE"/>
    <n v="7000"/>
    <n v="25"/>
    <n v="1.1904761904761905"/>
    <n v="26"/>
    <n v="2"/>
    <n v="9.5238095238095233E-2"/>
    <n v="2"/>
    <n v="12"/>
    <n v="0.6"/>
    <n v="12"/>
    <n v="2"/>
    <n v="2"/>
    <n v="0.1"/>
    <n v="1.9"/>
    <n v="2.5"/>
  </r>
  <r>
    <s v="N201"/>
    <s v="N704"/>
    <x v="17"/>
    <s v="Kalazidis"/>
    <x v="158"/>
    <s v="DE"/>
    <n v="7000"/>
    <n v="7"/>
    <n v="0.33333333333333331"/>
    <n v="7"/>
    <n v="0"/>
    <n v="0"/>
    <n v="0"/>
    <n v="2"/>
    <n v="0.1"/>
    <n v="2"/>
    <n v="0"/>
    <n v="0"/>
    <n v="0"/>
    <n v="0.7"/>
    <n v="0.79999999999999993"/>
  </r>
  <r>
    <s v="N201"/>
    <s v="N704"/>
    <x v="17"/>
    <s v="Kalazidis"/>
    <x v="159"/>
    <s v="DE"/>
    <n v="7000"/>
    <n v="17"/>
    <n v="0.80952380952380953"/>
    <n v="27"/>
    <n v="0"/>
    <n v="0"/>
    <n v="0"/>
    <n v="5"/>
    <n v="0.25"/>
    <n v="6"/>
    <n v="0"/>
    <n v="0"/>
    <n v="0"/>
    <n v="0.3"/>
    <n v="0.55000000000000004"/>
  </r>
  <r>
    <s v="N201"/>
    <s v="N704"/>
    <x v="17"/>
    <s v="Kalazidis"/>
    <x v="160"/>
    <s v="DE"/>
    <n v="7000"/>
    <n v="19"/>
    <n v="0.90476190476190477"/>
    <n v="24"/>
    <n v="1"/>
    <n v="4.7619047619047616E-2"/>
    <n v="1"/>
    <n v="12"/>
    <n v="0.6"/>
    <n v="13"/>
    <n v="1"/>
    <n v="1"/>
    <n v="0.05"/>
    <n v="0.3"/>
    <n v="0.89999999999999991"/>
  </r>
  <r>
    <s v="N201"/>
    <s v="N704"/>
    <x v="17"/>
    <s v="Kalazidis"/>
    <x v="161"/>
    <s v="DE"/>
    <n v="7000"/>
    <n v="9"/>
    <n v="0.42857142857142855"/>
    <n v="9"/>
    <n v="1"/>
    <n v="4.7619047619047616E-2"/>
    <n v="1"/>
    <n v="7"/>
    <n v="0.35"/>
    <n v="9"/>
    <n v="0"/>
    <n v="0"/>
    <n v="0"/>
    <n v="0.2"/>
    <n v="0.55000000000000004"/>
  </r>
  <r>
    <s v="N201"/>
    <s v="N704"/>
    <x v="17"/>
    <s v="Kalazidis"/>
    <x v="162"/>
    <s v="DE"/>
    <n v="7000"/>
    <n v="3"/>
    <n v="0.14285714285714285"/>
    <n v="3"/>
    <n v="0"/>
    <n v="0"/>
    <n v="0"/>
    <n v="3"/>
    <n v="0.15"/>
    <n v="3"/>
    <n v="0"/>
    <n v="0"/>
    <n v="0"/>
    <n v="0.5"/>
    <n v="0.65"/>
  </r>
  <r>
    <s v="N201"/>
    <s v="N704"/>
    <x v="17"/>
    <s v="Kalazidis"/>
    <x v="163"/>
    <s v="DE"/>
    <n v="7000"/>
    <n v="4"/>
    <n v="0.19047619047619047"/>
    <n v="4"/>
    <n v="3"/>
    <n v="0.14285714285714285"/>
    <n v="3"/>
    <n v="3"/>
    <n v="0.15"/>
    <n v="3"/>
    <n v="2"/>
    <n v="2"/>
    <n v="0.1"/>
    <n v="0.4"/>
    <n v="0.55000000000000004"/>
  </r>
  <r>
    <s v="N201"/>
    <s v="N704"/>
    <x v="17"/>
    <s v="Kalazidis"/>
    <x v="164"/>
    <s v="DE"/>
    <n v="7000"/>
    <n v="49"/>
    <n v="2.3333333333333335"/>
    <n v="49"/>
    <n v="32"/>
    <n v="1.5238095238095237"/>
    <n v="35"/>
    <n v="30"/>
    <n v="1.5"/>
    <n v="30"/>
    <n v="20"/>
    <n v="26"/>
    <n v="1"/>
    <n v="2.4"/>
    <n v="3.9"/>
  </r>
  <r>
    <s v="N201"/>
    <s v="N704"/>
    <x v="17"/>
    <s v="Kalazidis"/>
    <x v="165"/>
    <s v="DE"/>
    <n v="7000"/>
    <n v="39"/>
    <n v="1.8571428571428572"/>
    <n v="40"/>
    <n v="10"/>
    <n v="0.47619047619047616"/>
    <n v="12"/>
    <n v="26"/>
    <n v="1.3"/>
    <n v="26"/>
    <n v="8"/>
    <n v="8"/>
    <n v="0.4"/>
    <n v="2.2000000000000002"/>
    <n v="3.5"/>
  </r>
  <r>
    <s v="N201"/>
    <s v="N704"/>
    <x v="17"/>
    <s v="Kalazidis"/>
    <x v="166"/>
    <s v="DE"/>
    <n v="7000"/>
    <n v="3"/>
    <n v="0.14285714285714285"/>
    <n v="4"/>
    <n v="11"/>
    <n v="0.52380952380952384"/>
    <n v="12"/>
    <n v="8"/>
    <n v="0.4"/>
    <n v="8"/>
    <n v="8"/>
    <n v="11"/>
    <n v="0.4"/>
    <n v="0.4"/>
    <n v="0.8"/>
  </r>
  <r>
    <s v="N201"/>
    <s v="N704"/>
    <x v="17"/>
    <s v="Kalazidis"/>
    <x v="167"/>
    <s v="DE"/>
    <n v="7000"/>
    <n v="4"/>
    <n v="0.19047619047619047"/>
    <n v="4"/>
    <n v="2"/>
    <n v="9.5238095238095233E-2"/>
    <n v="2"/>
    <n v="1"/>
    <n v="0.05"/>
    <n v="1"/>
    <n v="1"/>
    <n v="1"/>
    <n v="0.05"/>
    <n v="0.14634146341463417"/>
    <n v="0.19634146341463415"/>
  </r>
  <r>
    <s v="N201"/>
    <s v="N704"/>
    <x v="17"/>
    <s v="Kalazidis"/>
    <x v="168"/>
    <s v="DE"/>
    <n v="7000"/>
    <n v="10"/>
    <n v="0.47619047619047616"/>
    <n v="11"/>
    <n v="1"/>
    <n v="4.7619047619047616E-2"/>
    <n v="1"/>
    <n v="12"/>
    <n v="0.6"/>
    <n v="12"/>
    <n v="2"/>
    <n v="2"/>
    <n v="0.1"/>
    <n v="0.8292682926829269"/>
    <n v="1.4292682926829268"/>
  </r>
  <r>
    <s v="N050"/>
    <s v="N701"/>
    <x v="18"/>
    <s v="Bayram"/>
    <x v="169"/>
    <s v="DE"/>
    <n v="7000"/>
    <n v="1"/>
    <n v="4.7619047619047616E-2"/>
    <n v="1"/>
    <n v="0"/>
    <n v="0"/>
    <n v="0"/>
    <n v="0"/>
    <n v="0"/>
    <n v="0"/>
    <n v="0"/>
    <n v="0"/>
    <n v="0"/>
    <n v="0.7"/>
    <n v="0.7"/>
  </r>
  <r>
    <s v="N050"/>
    <s v="N701"/>
    <x v="18"/>
    <s v="Bayram"/>
    <x v="170"/>
    <s v="DE"/>
    <n v="7000"/>
    <n v="13"/>
    <n v="0.61904761904761907"/>
    <n v="13"/>
    <n v="0"/>
    <n v="0"/>
    <n v="0"/>
    <n v="12"/>
    <n v="0.6"/>
    <n v="12"/>
    <n v="1"/>
    <n v="1"/>
    <n v="0.05"/>
    <n v="0.3"/>
    <n v="0.89999999999999991"/>
  </r>
  <r>
    <s v="N050"/>
    <s v="N702"/>
    <x v="18"/>
    <s v="Bayram"/>
    <x v="171"/>
    <s v="DE"/>
    <n v="7000"/>
    <n v="44"/>
    <n v="2.0952380952380953"/>
    <n v="52"/>
    <n v="21"/>
    <n v="1"/>
    <n v="42"/>
    <n v="40"/>
    <n v="2"/>
    <n v="46"/>
    <n v="25"/>
    <n v="28"/>
    <n v="1.25"/>
    <n v="1.1000000000000001"/>
    <n v="3.1"/>
  </r>
  <r>
    <s v="N450"/>
    <s v="N775"/>
    <x v="18"/>
    <s v="Sahin Transporte"/>
    <x v="172"/>
    <s v="DE"/>
    <n v="7000"/>
    <n v="26"/>
    <n v="1.2380952380952381"/>
    <n v="27"/>
    <n v="3"/>
    <n v="0.14285714285714285"/>
    <n v="3"/>
    <n v="22"/>
    <n v="1.1000000000000001"/>
    <n v="22"/>
    <n v="1"/>
    <n v="1"/>
    <n v="0.05"/>
    <n v="0.5"/>
    <n v="1.6"/>
  </r>
  <r>
    <s v="N203"/>
    <s v="N755"/>
    <x v="19"/>
    <s v="Kalazidis"/>
    <x v="173"/>
    <s v="DE"/>
    <n v="7000"/>
    <n v="21"/>
    <n v="1"/>
    <n v="24"/>
    <n v="13"/>
    <n v="0.61904761904761907"/>
    <n v="16"/>
    <n v="18"/>
    <n v="0.9"/>
    <n v="24"/>
    <n v="7"/>
    <n v="7"/>
    <n v="0.35"/>
    <n v="0.4"/>
    <n v="1.3"/>
  </r>
  <r>
    <s v="N203"/>
    <s v="N755"/>
    <x v="18"/>
    <s v="Kalazidis"/>
    <x v="174"/>
    <s v="DE"/>
    <n v="7000"/>
    <n v="36"/>
    <n v="1.7142857142857142"/>
    <n v="38"/>
    <n v="39"/>
    <n v="1.8571428571428572"/>
    <n v="641"/>
    <n v="22"/>
    <n v="1.1000000000000001"/>
    <n v="22"/>
    <n v="35"/>
    <n v="661"/>
    <n v="1.75"/>
    <n v="3.4"/>
    <n v="4.5"/>
  </r>
  <r>
    <s v="N203"/>
    <s v="N755"/>
    <x v="19"/>
    <s v="Kalazidis"/>
    <x v="175"/>
    <s v="DE"/>
    <n v="7000"/>
    <n v="23"/>
    <n v="1.0952380952380953"/>
    <n v="23"/>
    <n v="33"/>
    <n v="1.5714285714285714"/>
    <n v="67"/>
    <n v="19"/>
    <n v="0.95"/>
    <n v="20"/>
    <n v="28"/>
    <n v="62"/>
    <n v="1.4"/>
    <n v="1.1000000000000001"/>
    <n v="2.0499999999999998"/>
  </r>
  <r>
    <s v="N203"/>
    <s v="N755"/>
    <x v="19"/>
    <s v="Kalazidis"/>
    <x v="176"/>
    <s v="DE"/>
    <n v="7000"/>
    <n v="20"/>
    <n v="0.95238095238095233"/>
    <n v="20"/>
    <n v="16"/>
    <n v="0.76190476190476186"/>
    <n v="34"/>
    <n v="27"/>
    <n v="1.35"/>
    <n v="29"/>
    <n v="13"/>
    <n v="27"/>
    <n v="0.65"/>
    <n v="1.6"/>
    <n v="2.95"/>
  </r>
  <r>
    <s v="N203"/>
    <s v="N755"/>
    <x v="18"/>
    <s v="Kalazidis"/>
    <x v="177"/>
    <s v="DE"/>
    <n v="7000"/>
    <n v="12"/>
    <n v="0.5714285714285714"/>
    <n v="13"/>
    <n v="8"/>
    <n v="0.38095238095238093"/>
    <n v="12"/>
    <n v="16"/>
    <n v="0.8"/>
    <n v="17"/>
    <n v="6"/>
    <n v="10"/>
    <n v="0.3"/>
    <n v="0.9"/>
    <n v="1.7000000000000002"/>
  </r>
  <r>
    <s v="N203"/>
    <s v="N755"/>
    <x v="20"/>
    <s v="Kalazidis"/>
    <x v="178"/>
    <s v="DE"/>
    <n v="7000"/>
    <n v="0"/>
    <n v="0"/>
    <n v="0"/>
    <n v="1"/>
    <n v="4.7619047619047616E-2"/>
    <n v="1"/>
    <n v="2"/>
    <n v="0.1"/>
    <n v="2"/>
    <n v="0"/>
    <n v="0"/>
    <n v="0"/>
    <n v="0.21951219512195122"/>
    <n v="0.31951219512195123"/>
  </r>
  <r>
    <s v="N203"/>
    <s v="N755"/>
    <x v="19"/>
    <s v="Kalazidis"/>
    <x v="179"/>
    <s v="DE"/>
    <n v="7000"/>
    <n v="6"/>
    <n v="0.2857142857142857"/>
    <n v="6"/>
    <n v="9"/>
    <n v="0.42857142857142855"/>
    <n v="9"/>
    <n v="10"/>
    <n v="0.5"/>
    <n v="10"/>
    <n v="6"/>
    <n v="6"/>
    <n v="0.3"/>
    <n v="2.1219512195121952"/>
    <n v="2.6219512195121952"/>
  </r>
  <r>
    <s v="N203"/>
    <s v="N755"/>
    <x v="19"/>
    <s v="Kalazidis"/>
    <x v="180"/>
    <s v="DE"/>
    <n v="7000"/>
    <n v="5"/>
    <n v="0.23809523809523808"/>
    <n v="5"/>
    <n v="1"/>
    <n v="4.7619047619047616E-2"/>
    <n v="1"/>
    <n v="3"/>
    <n v="0.15"/>
    <n v="3"/>
    <n v="0"/>
    <n v="0"/>
    <n v="0"/>
    <n v="0.26829268292682928"/>
    <n v="0.41829268292682931"/>
  </r>
  <r>
    <s v="N203"/>
    <s v="N755"/>
    <x v="19"/>
    <s v="Kalazidis"/>
    <x v="181"/>
    <s v="DE"/>
    <n v="7000"/>
    <n v="0"/>
    <n v="0"/>
    <n v="0"/>
    <n v="0"/>
    <n v="0"/>
    <n v="0"/>
    <n v="3"/>
    <n v="0.15"/>
    <n v="3"/>
    <n v="0"/>
    <n v="0"/>
    <n v="0"/>
    <n v="0.05"/>
    <n v="0.2"/>
  </r>
  <r>
    <s v="N203"/>
    <s v="N755"/>
    <x v="19"/>
    <s v="Kalazidis"/>
    <x v="182"/>
    <s v="DE"/>
    <n v="7000"/>
    <n v="1"/>
    <n v="4.7619047619047616E-2"/>
    <n v="1"/>
    <n v="0"/>
    <n v="0"/>
    <n v="0"/>
    <n v="6"/>
    <n v="0.3"/>
    <n v="7"/>
    <n v="0"/>
    <n v="0"/>
    <n v="0"/>
    <n v="0"/>
    <n v="0.3"/>
  </r>
  <r>
    <s v="N351"/>
    <s v="N754"/>
    <x v="21"/>
    <s v="AB Transporte"/>
    <x v="183"/>
    <s v="DE"/>
    <n v="7000"/>
    <n v="31"/>
    <n v="1.4761904761904763"/>
    <n v="32"/>
    <n v="4"/>
    <n v="0.19047619047619047"/>
    <n v="4"/>
    <n v="28"/>
    <n v="1.4"/>
    <n v="28"/>
    <n v="4"/>
    <n v="4"/>
    <n v="0.2"/>
    <n v="1.9268292682926831"/>
    <n v="3.3268292682926832"/>
  </r>
  <r>
    <s v="N351"/>
    <s v="N754"/>
    <x v="21"/>
    <s v="AB Transporte"/>
    <x v="184"/>
    <s v="DE"/>
    <n v="7000"/>
    <n v="7"/>
    <n v="0.33333333333333331"/>
    <n v="7"/>
    <n v="6"/>
    <n v="0.2857142857142857"/>
    <n v="12"/>
    <n v="4"/>
    <n v="0.2"/>
    <n v="4"/>
    <n v="6"/>
    <n v="6"/>
    <n v="0.3"/>
    <n v="0.4390243902439025"/>
    <n v="0.63902439024390256"/>
  </r>
  <r>
    <s v="N351"/>
    <s v="N754"/>
    <x v="21"/>
    <s v="AB Transporte"/>
    <x v="185"/>
    <s v="DE"/>
    <n v="7000"/>
    <n v="3"/>
    <n v="0.14285714285714285"/>
    <n v="3"/>
    <n v="0"/>
    <n v="0"/>
    <n v="0"/>
    <n v="1"/>
    <n v="0.05"/>
    <n v="1"/>
    <n v="0"/>
    <n v="0"/>
    <n v="0"/>
    <n v="0.14634146341463414"/>
    <n v="0.19634146341463415"/>
  </r>
  <r>
    <s v="N351"/>
    <s v="N754"/>
    <x v="21"/>
    <s v="AB Transporte"/>
    <x v="186"/>
    <s v="DE"/>
    <n v="7000"/>
    <n v="0"/>
    <n v="0"/>
    <n v="0"/>
    <n v="0"/>
    <n v="0"/>
    <n v="0"/>
    <n v="5"/>
    <n v="0.25"/>
    <n v="5"/>
    <n v="0"/>
    <n v="0"/>
    <n v="0"/>
    <n v="0.14634146341463417"/>
    <n v="0.39634146341463417"/>
  </r>
  <r>
    <s v="N351"/>
    <s v="N754"/>
    <x v="21"/>
    <s v="AB Transporte"/>
    <x v="187"/>
    <s v="DE"/>
    <n v="7000"/>
    <n v="1"/>
    <n v="4.7619047619047616E-2"/>
    <n v="1"/>
    <n v="0"/>
    <n v="0"/>
    <n v="0"/>
    <n v="2"/>
    <n v="0.1"/>
    <n v="2"/>
    <n v="1"/>
    <n v="1"/>
    <n v="0.05"/>
    <n v="0.12195121951219512"/>
    <n v="0.22195121951219512"/>
  </r>
  <r>
    <s v="N351"/>
    <s v="N754"/>
    <x v="21"/>
    <s v="AB Transporte"/>
    <x v="188"/>
    <s v="DE"/>
    <n v="7000"/>
    <n v="5"/>
    <n v="0.23809523809523808"/>
    <n v="5"/>
    <n v="0"/>
    <n v="0"/>
    <n v="0"/>
    <n v="3"/>
    <n v="0.15"/>
    <n v="3"/>
    <n v="1"/>
    <n v="1"/>
    <n v="0.05"/>
    <n v="0.14634146341463417"/>
    <n v="0.29634146341463419"/>
  </r>
  <r>
    <s v="N351"/>
    <s v="N754"/>
    <x v="21"/>
    <s v="AB Transporte"/>
    <x v="189"/>
    <s v="DE"/>
    <n v="7000"/>
    <n v="26"/>
    <n v="1.2380952380952381"/>
    <n v="28"/>
    <n v="8"/>
    <n v="0.38095238095238093"/>
    <n v="10"/>
    <n v="16"/>
    <n v="0.8"/>
    <n v="17"/>
    <n v="5"/>
    <n v="7"/>
    <n v="0.25"/>
    <n v="1.1463414634146341"/>
    <n v="1.9463414634146341"/>
  </r>
  <r>
    <s v="N351"/>
    <s v="N754"/>
    <x v="21"/>
    <s v="AB Transporte"/>
    <x v="190"/>
    <s v="DE"/>
    <n v="7000"/>
    <n v="1"/>
    <n v="4.7619047619047616E-2"/>
    <n v="1"/>
    <n v="12"/>
    <n v="0.5714285714285714"/>
    <n v="16"/>
    <n v="6"/>
    <n v="0.3"/>
    <n v="6"/>
    <n v="18"/>
    <n v="26"/>
    <n v="0.9"/>
    <n v="0.78048780487804881"/>
    <n v="1.0804878048780489"/>
  </r>
  <r>
    <s v="N351"/>
    <s v="N754"/>
    <x v="21"/>
    <s v="AB Transporte"/>
    <x v="191"/>
    <s v="DE"/>
    <n v="7000"/>
    <n v="5"/>
    <n v="0.23809523809523808"/>
    <n v="5"/>
    <n v="14"/>
    <n v="0.66666666666666663"/>
    <n v="27"/>
    <n v="4"/>
    <n v="0.2"/>
    <n v="4"/>
    <n v="13"/>
    <n v="18"/>
    <n v="0.65"/>
    <n v="9.7560975609756101E-2"/>
    <n v="0.29756097560975614"/>
  </r>
  <r>
    <s v="N351"/>
    <s v="N754"/>
    <x v="21"/>
    <s v="AB Transporte"/>
    <x v="192"/>
    <s v="DE"/>
    <n v="7000"/>
    <n v="12"/>
    <n v="0.5714285714285714"/>
    <n v="12"/>
    <n v="11"/>
    <n v="0.52380952380952384"/>
    <n v="12"/>
    <n v="11"/>
    <n v="0.55000000000000004"/>
    <n v="12"/>
    <n v="9"/>
    <n v="11"/>
    <n v="0.45"/>
    <n v="0.68292682926829262"/>
    <n v="1.2329268292682927"/>
  </r>
  <r>
    <s v="N351"/>
    <s v="N754"/>
    <x v="21"/>
    <s v="AB Transporte"/>
    <x v="193"/>
    <s v="DE"/>
    <n v="7000"/>
    <n v="3"/>
    <n v="0.14285714285714285"/>
    <n v="4"/>
    <n v="0"/>
    <n v="0"/>
    <n v="0"/>
    <n v="3"/>
    <n v="0.15"/>
    <n v="3"/>
    <n v="0"/>
    <n v="0"/>
    <n v="0"/>
    <n v="0.36585365853658536"/>
    <n v="0.51585365853658538"/>
  </r>
  <r>
    <s v="N351"/>
    <s v="N754"/>
    <x v="21"/>
    <s v="AB Transporte"/>
    <x v="194"/>
    <s v="DE"/>
    <n v="7000"/>
    <n v="1"/>
    <n v="4.7619047619047616E-2"/>
    <n v="1"/>
    <n v="2"/>
    <n v="9.5238095238095233E-2"/>
    <n v="2"/>
    <n v="2"/>
    <n v="0.1"/>
    <n v="2"/>
    <n v="1"/>
    <n v="1"/>
    <n v="0.05"/>
    <n v="0.29268292682926833"/>
    <n v="0.39268292682926831"/>
  </r>
  <r>
    <s v="N050"/>
    <s v="N702"/>
    <x v="10"/>
    <s v="Bayram"/>
    <x v="195"/>
    <s v="DE"/>
    <n v="7000"/>
    <n v="32"/>
    <n v="1.5238095238095237"/>
    <n v="32"/>
    <n v="48"/>
    <n v="2.2857142857142856"/>
    <n v="100"/>
    <n v="33"/>
    <n v="1.65"/>
    <n v="33"/>
    <n v="42"/>
    <n v="85"/>
    <n v="2.1"/>
    <n v="1"/>
    <n v="2.65"/>
  </r>
  <r>
    <s v="N450"/>
    <s v="N702"/>
    <x v="20"/>
    <s v="Sahin Transporte"/>
    <x v="196"/>
    <s v="DE"/>
    <n v="7000"/>
    <n v="46"/>
    <n v="2.1904761904761907"/>
    <n v="51"/>
    <n v="18"/>
    <n v="0.8571428571428571"/>
    <n v="18"/>
    <n v="44"/>
    <n v="2.2000000000000002"/>
    <n v="45"/>
    <n v="11"/>
    <n v="18"/>
    <n v="0.55000000000000004"/>
    <n v="2"/>
    <n v="4.2"/>
  </r>
  <r>
    <s v="N351"/>
    <s v="N754"/>
    <x v="20"/>
    <s v="AB Transporte"/>
    <x v="197"/>
    <s v="DE"/>
    <n v="7000"/>
    <n v="5"/>
    <n v="0.23809523809523808"/>
    <n v="5"/>
    <n v="3"/>
    <n v="0.14285714285714285"/>
    <n v="3"/>
    <n v="1"/>
    <n v="0.05"/>
    <n v="1"/>
    <n v="2"/>
    <n v="3"/>
    <n v="0.1"/>
    <n v="2.8"/>
    <n v="2.8499999999999996"/>
  </r>
  <r>
    <s v="N351"/>
    <s v="N754"/>
    <x v="20"/>
    <s v="AB Transporte"/>
    <x v="198"/>
    <s v="DE"/>
    <n v="7000"/>
    <n v="8"/>
    <n v="0.38095238095238093"/>
    <n v="9"/>
    <n v="0"/>
    <n v="0"/>
    <n v="0"/>
    <n v="7"/>
    <n v="0.35"/>
    <n v="7"/>
    <n v="0"/>
    <n v="0"/>
    <n v="0"/>
    <n v="0.2"/>
    <n v="0.55000000000000004"/>
  </r>
  <r>
    <s v="N351"/>
    <s v="N754"/>
    <x v="20"/>
    <s v="AB Transporte"/>
    <x v="199"/>
    <s v="DE"/>
    <n v="7000"/>
    <n v="0"/>
    <n v="0"/>
    <n v="0"/>
    <n v="12"/>
    <n v="0.5714285714285714"/>
    <n v="25"/>
    <n v="2"/>
    <n v="0.1"/>
    <n v="2"/>
    <n v="7"/>
    <n v="9"/>
    <n v="0.35"/>
    <n v="0.8"/>
    <n v="0.9"/>
  </r>
  <r>
    <s v="N351"/>
    <s v="N754"/>
    <x v="18"/>
    <s v="AB Transporte"/>
    <x v="200"/>
    <s v="DE"/>
    <n v="7000"/>
    <n v="8"/>
    <n v="0.38095238095238093"/>
    <n v="9"/>
    <n v="6"/>
    <n v="0.2857142857142857"/>
    <n v="6"/>
    <n v="6"/>
    <n v="0.3"/>
    <n v="6"/>
    <n v="7"/>
    <n v="7"/>
    <n v="0.35"/>
    <n v="0.2"/>
    <n v="0.5"/>
  </r>
  <r>
    <s v="N351"/>
    <s v="N754"/>
    <x v="20"/>
    <s v="AB Transporte"/>
    <x v="201"/>
    <s v="DE"/>
    <n v="7000"/>
    <n v="1"/>
    <n v="4.7619047619047616E-2"/>
    <n v="1"/>
    <n v="0"/>
    <n v="0"/>
    <n v="0"/>
    <n v="2"/>
    <n v="0.1"/>
    <n v="2"/>
    <n v="0"/>
    <n v="0"/>
    <n v="0"/>
    <n v="0.1"/>
    <n v="0.2"/>
  </r>
  <r>
    <s v="N351"/>
    <s v="N754"/>
    <x v="20"/>
    <s v="AB Transporte"/>
    <x v="202"/>
    <s v="DE"/>
    <n v="7000"/>
    <n v="1"/>
    <n v="4.7619047619047616E-2"/>
    <n v="1"/>
    <n v="0"/>
    <n v="0"/>
    <n v="0"/>
    <n v="5"/>
    <n v="0.25"/>
    <n v="5"/>
    <n v="0"/>
    <n v="0"/>
    <n v="0"/>
    <n v="0.9"/>
    <n v="1.1499999999999999"/>
  </r>
  <r>
    <s v="N450"/>
    <s v="N775"/>
    <x v="20"/>
    <s v="Sahin Transporte"/>
    <x v="203"/>
    <s v="DE"/>
    <n v="7000"/>
    <n v="8"/>
    <n v="0.38095238095238093"/>
    <n v="8"/>
    <n v="20"/>
    <n v="0.95238095238095233"/>
    <n v="37"/>
    <n v="14"/>
    <n v="0.7"/>
    <n v="14"/>
    <n v="21"/>
    <n v="34"/>
    <n v="1.05"/>
    <n v="1.3"/>
    <n v="2"/>
  </r>
  <r>
    <s v="N450"/>
    <s v="N775"/>
    <x v="10"/>
    <s v="Sahin Transporte"/>
    <x v="204"/>
    <s v="DE"/>
    <n v="7000"/>
    <n v="8"/>
    <n v="0.38095238095238093"/>
    <n v="8"/>
    <n v="8"/>
    <n v="0.38095238095238093"/>
    <n v="9"/>
    <n v="12"/>
    <n v="0.6"/>
    <n v="13"/>
    <n v="5"/>
    <n v="5"/>
    <n v="0.25"/>
    <n v="0.4"/>
    <n v="1"/>
  </r>
  <r>
    <s v="N450"/>
    <s v="N775"/>
    <x v="10"/>
    <s v="Sahin Transporte"/>
    <x v="205"/>
    <s v="DE"/>
    <n v="7000"/>
    <n v="12"/>
    <n v="0.5714285714285714"/>
    <n v="13"/>
    <n v="2"/>
    <n v="9.5238095238095233E-2"/>
    <n v="3"/>
    <n v="16"/>
    <n v="0.8"/>
    <n v="16"/>
    <n v="4"/>
    <n v="5"/>
    <n v="0.2"/>
    <n v="0.8"/>
    <n v="1.6"/>
  </r>
  <r>
    <s v="N450"/>
    <s v="N775"/>
    <x v="20"/>
    <s v="Sahin Transporte"/>
    <x v="206"/>
    <s v="DE"/>
    <n v="7000"/>
    <n v="9"/>
    <n v="0.42857142857142855"/>
    <n v="9"/>
    <n v="4"/>
    <n v="0.19047619047619047"/>
    <n v="4"/>
    <n v="7"/>
    <n v="0.35"/>
    <n v="7"/>
    <n v="1"/>
    <n v="1"/>
    <n v="0.05"/>
    <n v="0.1"/>
    <n v="0.44999999999999996"/>
  </r>
  <r>
    <s v="N450"/>
    <s v="N775"/>
    <x v="10"/>
    <s v="Sahin Transporte"/>
    <x v="207"/>
    <s v="DE"/>
    <n v="7000"/>
    <n v="2"/>
    <n v="9.5238095238095233E-2"/>
    <n v="2"/>
    <n v="0"/>
    <n v="0"/>
    <n v="0"/>
    <n v="0"/>
    <n v="0"/>
    <n v="0"/>
    <n v="0"/>
    <n v="0"/>
    <n v="0"/>
    <n v="0"/>
    <n v="0"/>
  </r>
  <r>
    <s v="N351"/>
    <s v="N754"/>
    <x v="20"/>
    <s v="AB Transporte"/>
    <x v="208"/>
    <s v="DE"/>
    <n v="7000"/>
    <n v="1"/>
    <n v="4.7619047619047616E-2"/>
    <n v="1"/>
    <n v="7"/>
    <n v="0.33333333333333331"/>
    <n v="7"/>
    <n v="2"/>
    <n v="0.1"/>
    <n v="2"/>
    <n v="5"/>
    <n v="5"/>
    <n v="0.25"/>
    <n v="0.26829268292682928"/>
    <n v="0.36829268292682926"/>
  </r>
  <r>
    <s v="N301"/>
    <s v="N718"/>
    <x v="22"/>
    <s v="?"/>
    <x v="209"/>
    <s v="DE"/>
    <n v="7000"/>
    <n v="21"/>
    <n v="1"/>
    <n v="21"/>
    <n v="7"/>
    <n v="0.33333333333333331"/>
    <n v="7"/>
    <n v="32"/>
    <n v="1.6"/>
    <n v="32"/>
    <n v="10"/>
    <n v="10"/>
    <n v="0.5"/>
    <n v="1.5"/>
    <n v="3.1"/>
  </r>
  <r>
    <s v="N001"/>
    <s v="N731"/>
    <x v="22"/>
    <s v="BT Transporte"/>
    <x v="210"/>
    <s v="DE"/>
    <n v="7000"/>
    <n v="18"/>
    <n v="0.8571428571428571"/>
    <n v="20"/>
    <n v="13"/>
    <n v="0.61904761904761907"/>
    <n v="13"/>
    <n v="12"/>
    <n v="0.6"/>
    <n v="13"/>
    <n v="13"/>
    <n v="14"/>
    <n v="0.65"/>
    <n v="0.5"/>
    <n v="1.1000000000000001"/>
  </r>
  <r>
    <s v="N301"/>
    <s v="N718"/>
    <x v="22"/>
    <s v="?"/>
    <x v="211"/>
    <s v="DE"/>
    <n v="7000"/>
    <n v="45"/>
    <n v="2.1428571428571428"/>
    <n v="46"/>
    <n v="24"/>
    <n v="1.1428571428571428"/>
    <n v="32"/>
    <n v="51"/>
    <n v="2.5499999999999998"/>
    <n v="52"/>
    <n v="18"/>
    <n v="24"/>
    <n v="0.9"/>
    <n v="4.2439024390243905"/>
    <n v="6.7939024390243903"/>
  </r>
  <r>
    <s v="N001"/>
    <s v="N731"/>
    <x v="22"/>
    <s v="BT Transporte"/>
    <x v="212"/>
    <s v="DE"/>
    <n v="7000"/>
    <n v="5"/>
    <n v="0.23809523809523808"/>
    <n v="5"/>
    <n v="5"/>
    <n v="0.23809523809523808"/>
    <n v="7"/>
    <n v="8"/>
    <n v="0.4"/>
    <n v="8"/>
    <n v="7"/>
    <n v="14"/>
    <n v="0.35"/>
    <n v="0.7804878048780487"/>
    <n v="1.1804878048780487"/>
  </r>
  <r>
    <s v="N301"/>
    <s v="N718"/>
    <x v="22"/>
    <s v="?"/>
    <x v="213"/>
    <s v="DE"/>
    <n v="7000"/>
    <n v="15"/>
    <n v="0.7142857142857143"/>
    <n v="24"/>
    <n v="3"/>
    <n v="0.14285714285714285"/>
    <n v="3"/>
    <n v="13"/>
    <n v="0.65"/>
    <n v="17"/>
    <n v="1"/>
    <n v="1"/>
    <n v="0.05"/>
    <n v="1.0975609756097562"/>
    <n v="1.7475609756097561"/>
  </r>
  <r>
    <s v="N500"/>
    <s v="N701"/>
    <x v="22"/>
    <s v="HTM"/>
    <x v="214"/>
    <s v="DE"/>
    <n v="7000"/>
    <n v="1"/>
    <n v="4.7619047619047616E-2"/>
    <n v="1"/>
    <n v="0"/>
    <n v="0"/>
    <n v="0"/>
    <n v="2"/>
    <n v="0.1"/>
    <n v="2"/>
    <n v="2"/>
    <n v="2"/>
    <n v="0.1"/>
    <n v="0.1951219512195122"/>
    <n v="0.29512195121951224"/>
  </r>
  <r>
    <s v="N001"/>
    <s v="N731"/>
    <x v="22"/>
    <s v="BT Transporte"/>
    <x v="215"/>
    <s v="DE"/>
    <n v="7000"/>
    <n v="0"/>
    <n v="0"/>
    <n v="0"/>
    <n v="0"/>
    <n v="0"/>
    <n v="0"/>
    <n v="1"/>
    <n v="0.05"/>
    <n v="1"/>
    <n v="0"/>
    <n v="0"/>
    <n v="0"/>
    <n v="7.3170731707317083E-2"/>
    <n v="0.12317073170731709"/>
  </r>
  <r>
    <s v="N050"/>
    <s v="N701"/>
    <x v="4"/>
    <s v="Bayram"/>
    <x v="216"/>
    <s v="DE"/>
    <n v="7000"/>
    <n v="26"/>
    <n v="1.2380952380952381"/>
    <n v="26"/>
    <n v="1"/>
    <n v="4.7619047619047616E-2"/>
    <n v="1"/>
    <n v="35"/>
    <n v="1.75"/>
    <n v="40"/>
    <n v="0"/>
    <n v="0"/>
    <n v="0"/>
    <n v="1.2"/>
    <n v="2.95"/>
  </r>
  <r>
    <s v="N050"/>
    <s v="N701"/>
    <x v="4"/>
    <s v="Bayram"/>
    <x v="217"/>
    <s v="DE"/>
    <n v="7000"/>
    <n v="7"/>
    <n v="0.33333333333333331"/>
    <n v="8"/>
    <n v="0"/>
    <n v="0"/>
    <n v="0"/>
    <n v="9"/>
    <n v="0.45"/>
    <n v="9"/>
    <n v="0"/>
    <n v="0"/>
    <n v="0"/>
    <n v="0.6"/>
    <n v="1.05"/>
  </r>
  <r>
    <s v="N500"/>
    <s v="N701"/>
    <x v="23"/>
    <s v="HTM"/>
    <x v="218"/>
    <s v="DE"/>
    <n v="7000"/>
    <n v="31"/>
    <n v="1.4761904761904763"/>
    <n v="37"/>
    <n v="24"/>
    <n v="1.1428571428571428"/>
    <n v="38"/>
    <n v="29"/>
    <n v="1.45"/>
    <n v="32"/>
    <n v="20"/>
    <n v="36"/>
    <n v="1"/>
    <n v="0.87804878048780499"/>
    <n v="2.3280487804878049"/>
  </r>
  <r>
    <s v="N500"/>
    <s v="N701"/>
    <x v="23"/>
    <s v="HTM"/>
    <x v="219"/>
    <s v="DE"/>
    <n v="7000"/>
    <n v="18"/>
    <n v="0.8571428571428571"/>
    <n v="18"/>
    <n v="4"/>
    <n v="0.19047619047619047"/>
    <n v="4"/>
    <n v="13"/>
    <n v="0.65"/>
    <n v="14"/>
    <n v="1"/>
    <n v="1"/>
    <n v="0.05"/>
    <n v="1.1707317073170733"/>
    <n v="1.8207317073170732"/>
  </r>
  <r>
    <s v="N400"/>
    <s v="N730"/>
    <x v="23"/>
    <s v="?"/>
    <x v="220"/>
    <s v="DE"/>
    <n v="7000"/>
    <n v="3"/>
    <n v="0.14285714285714285"/>
    <n v="3"/>
    <n v="1"/>
    <n v="4.7619047619047616E-2"/>
    <n v="1"/>
    <n v="1"/>
    <n v="0.05"/>
    <n v="1"/>
    <n v="0"/>
    <n v="0"/>
    <n v="0"/>
    <n v="0.53658536585365857"/>
    <n v="0.58658536585365861"/>
  </r>
  <r>
    <s v="N500"/>
    <s v="N701"/>
    <x v="23"/>
    <s v="HTM"/>
    <x v="221"/>
    <s v="DE"/>
    <n v="7000"/>
    <n v="11"/>
    <n v="0.52380952380952384"/>
    <n v="12"/>
    <n v="5"/>
    <n v="0.23809523809523808"/>
    <n v="5"/>
    <n v="14"/>
    <n v="0.7"/>
    <n v="14"/>
    <n v="2"/>
    <n v="2"/>
    <n v="0.1"/>
    <n v="0.85365853658536583"/>
    <n v="1.5536585365853659"/>
  </r>
  <r>
    <s v="N500"/>
    <s v="N701"/>
    <x v="23"/>
    <s v="HTM"/>
    <x v="222"/>
    <s v="DE"/>
    <n v="7000"/>
    <n v="24"/>
    <n v="1.1428571428571428"/>
    <n v="36"/>
    <n v="18"/>
    <n v="0.8571428571428571"/>
    <n v="40"/>
    <n v="30"/>
    <n v="1.5"/>
    <n v="31"/>
    <n v="20"/>
    <n v="77"/>
    <n v="1"/>
    <n v="2.5609756097560976"/>
    <n v="4.0609756097560972"/>
  </r>
  <r>
    <s v="N500"/>
    <s v="N701"/>
    <x v="23"/>
    <s v="HTM"/>
    <x v="223"/>
    <s v="DE"/>
    <n v="7000"/>
    <n v="2"/>
    <n v="9.5238095238095233E-2"/>
    <n v="2"/>
    <n v="0"/>
    <n v="0"/>
    <n v="0"/>
    <n v="2"/>
    <n v="0.1"/>
    <n v="2"/>
    <n v="0"/>
    <n v="0"/>
    <n v="0"/>
    <n v="0.24390243902439021"/>
    <n v="0.34390243902439022"/>
  </r>
  <r>
    <s v="N500"/>
    <s v="N701"/>
    <x v="23"/>
    <s v="HTM"/>
    <x v="224"/>
    <s v="DE"/>
    <n v="7000"/>
    <n v="2"/>
    <n v="9.5238095238095233E-2"/>
    <n v="2"/>
    <n v="1"/>
    <n v="4.7619047619047616E-2"/>
    <n v="1"/>
    <n v="3"/>
    <n v="0.15"/>
    <n v="3"/>
    <n v="1"/>
    <n v="1"/>
    <n v="0.05"/>
    <n v="0.29268292682926828"/>
    <n v="0.44268292682926824"/>
  </r>
  <r>
    <s v="N500"/>
    <s v="N701"/>
    <x v="23"/>
    <s v="HTM"/>
    <x v="225"/>
    <s v="DE"/>
    <n v="7000"/>
    <n v="25"/>
    <n v="1.1904761904761905"/>
    <n v="30"/>
    <n v="1"/>
    <n v="4.7619047619047616E-2"/>
    <n v="1"/>
    <n v="20"/>
    <n v="1"/>
    <n v="27"/>
    <n v="2"/>
    <n v="2"/>
    <n v="0.1"/>
    <n v="0.80487804878048785"/>
    <n v="1.8048780487804879"/>
  </r>
  <r>
    <s v="N500"/>
    <s v="N701"/>
    <x v="23"/>
    <s v="HTM"/>
    <x v="226"/>
    <s v="DE"/>
    <n v="7000"/>
    <n v="6"/>
    <n v="0.2857142857142857"/>
    <n v="6"/>
    <n v="3"/>
    <n v="0.14285714285714285"/>
    <n v="3"/>
    <n v="7"/>
    <n v="0.35"/>
    <n v="7"/>
    <n v="2"/>
    <n v="2"/>
    <n v="0.1"/>
    <n v="0.70731707317073178"/>
    <n v="1.0573170731707318"/>
  </r>
  <r>
    <s v="N500"/>
    <s v="N701"/>
    <x v="23"/>
    <s v="HTM"/>
    <x v="227"/>
    <s v="DE"/>
    <n v="7000"/>
    <n v="9"/>
    <n v="0.42857142857142855"/>
    <n v="9"/>
    <n v="6"/>
    <n v="0.2857142857142857"/>
    <n v="8"/>
    <n v="15"/>
    <n v="0.75"/>
    <n v="17"/>
    <n v="8"/>
    <n v="14"/>
    <n v="0.4"/>
    <n v="1.1951219512195121"/>
    <n v="1.9451219512195121"/>
  </r>
  <r>
    <s v="N500"/>
    <s v="N701"/>
    <x v="23"/>
    <s v="HTM"/>
    <x v="228"/>
    <s v="DE"/>
    <n v="7000"/>
    <n v="6"/>
    <n v="0.2857142857142857"/>
    <n v="7"/>
    <n v="7"/>
    <n v="0.33333333333333331"/>
    <n v="8"/>
    <n v="4"/>
    <n v="0.2"/>
    <n v="4"/>
    <n v="7"/>
    <n v="8"/>
    <n v="0.35"/>
    <n v="0.21951219512195122"/>
    <n v="0.41951219512195126"/>
  </r>
  <r>
    <s v="N350"/>
    <s v="N722"/>
    <x v="14"/>
    <s v="AB Transporte"/>
    <x v="229"/>
    <s v="DE"/>
    <n v="7000"/>
    <n v="4"/>
    <n v="0.19047619047619047"/>
    <n v="4"/>
    <n v="4"/>
    <n v="0.19047619047619047"/>
    <n v="10"/>
    <n v="1"/>
    <n v="0.05"/>
    <n v="1"/>
    <n v="7"/>
    <n v="12"/>
    <n v="0.35"/>
    <n v="0.5"/>
    <n v="0.55000000000000004"/>
  </r>
  <r>
    <s v="N350"/>
    <s v="N722"/>
    <x v="14"/>
    <s v="AB Transporte"/>
    <x v="230"/>
    <s v="DE"/>
    <n v="7000"/>
    <n v="10"/>
    <n v="0.47619047619047616"/>
    <n v="10"/>
    <n v="23"/>
    <n v="1.0952380952380953"/>
    <n v="1904"/>
    <n v="17"/>
    <n v="0.85"/>
    <n v="17"/>
    <n v="24"/>
    <n v="1725"/>
    <n v="1.2"/>
    <n v="2.5853658536585367"/>
    <n v="3.4353658536585368"/>
  </r>
  <r>
    <s v="N350"/>
    <s v="N722"/>
    <x v="14"/>
    <s v="AB Transporte"/>
    <x v="231"/>
    <s v="DE"/>
    <n v="7000"/>
    <n v="5"/>
    <n v="0.23809523809523808"/>
    <n v="5"/>
    <n v="0"/>
    <n v="0"/>
    <n v="0"/>
    <n v="15"/>
    <n v="0.75"/>
    <n v="16"/>
    <n v="0"/>
    <n v="0"/>
    <n v="0"/>
    <n v="1.5853658536585364"/>
    <n v="2.3353658536585362"/>
  </r>
  <r>
    <s v="N350"/>
    <s v="N722"/>
    <x v="14"/>
    <s v="AB Transporte"/>
    <x v="232"/>
    <s v="DE"/>
    <n v="7000"/>
    <n v="2"/>
    <n v="9.5238095238095233E-2"/>
    <n v="2"/>
    <n v="0"/>
    <n v="0"/>
    <n v="0"/>
    <n v="7"/>
    <n v="0.35"/>
    <n v="7"/>
    <n v="0"/>
    <n v="0"/>
    <n v="0"/>
    <n v="0.85365853658536583"/>
    <n v="1.2036585365853658"/>
  </r>
  <r>
    <s v="N350"/>
    <s v="N722"/>
    <x v="14"/>
    <s v="AB Transporte"/>
    <x v="233"/>
    <s v="DE"/>
    <n v="7000"/>
    <n v="4"/>
    <n v="0.19047619047619047"/>
    <n v="4"/>
    <n v="5"/>
    <n v="0.23809523809523808"/>
    <n v="7"/>
    <n v="3"/>
    <n v="0.15"/>
    <n v="3"/>
    <n v="6"/>
    <n v="7"/>
    <n v="0.3"/>
    <n v="0.6097560975609756"/>
    <n v="0.75975609756097562"/>
  </r>
  <r>
    <s v="N350"/>
    <s v="N722"/>
    <x v="14"/>
    <s v="AB Transporte"/>
    <x v="234"/>
    <s v="DE"/>
    <n v="7000"/>
    <n v="4"/>
    <n v="0.19047619047619047"/>
    <n v="4"/>
    <n v="0"/>
    <n v="0"/>
    <n v="0"/>
    <n v="1"/>
    <n v="0.05"/>
    <n v="1"/>
    <n v="0"/>
    <n v="0"/>
    <n v="0"/>
    <n v="0.12195121951219512"/>
    <n v="0.17195121951219511"/>
  </r>
  <r>
    <s v="N350"/>
    <s v="N722"/>
    <x v="24"/>
    <s v="AB Transporte"/>
    <x v="235"/>
    <s v="DE"/>
    <n v="7000"/>
    <n v="5"/>
    <n v="0.23809523809523808"/>
    <n v="5"/>
    <n v="0"/>
    <n v="0"/>
    <n v="0"/>
    <n v="2"/>
    <n v="0.1"/>
    <n v="2"/>
    <n v="0"/>
    <n v="0"/>
    <n v="0"/>
    <n v="0.63414634146341464"/>
    <n v="0.73414634146341462"/>
  </r>
  <r>
    <s v="N350"/>
    <s v="N722"/>
    <x v="14"/>
    <s v="AB Transporte"/>
    <x v="236"/>
    <s v="DE"/>
    <n v="7000"/>
    <n v="1"/>
    <n v="4.7619047619047616E-2"/>
    <n v="1"/>
    <n v="0"/>
    <n v="0"/>
    <n v="0"/>
    <n v="2"/>
    <n v="0.1"/>
    <n v="2"/>
    <n v="0"/>
    <n v="0"/>
    <n v="0"/>
    <n v="2.4390243902439025E-2"/>
    <n v="0.12439024390243902"/>
  </r>
  <r>
    <s v="N350"/>
    <s v="N722"/>
    <x v="14"/>
    <s v="AB Transporte"/>
    <x v="237"/>
    <s v="DE"/>
    <n v="7000"/>
    <n v="0"/>
    <n v="0"/>
    <n v="0"/>
    <n v="0"/>
    <n v="0"/>
    <n v="0"/>
    <n v="0"/>
    <n v="0"/>
    <n v="0"/>
    <n v="0"/>
    <n v="0"/>
    <n v="0"/>
    <n v="9.7560975609756101E-2"/>
    <n v="9.7560975609756101E-2"/>
  </r>
  <r>
    <s v="N203"/>
    <s v="N755"/>
    <x v="24"/>
    <s v="Kalazidis"/>
    <x v="238"/>
    <s v="DE"/>
    <n v="7000"/>
    <n v="1"/>
    <n v="4.7619047619047616E-2"/>
    <n v="1"/>
    <n v="0"/>
    <n v="0"/>
    <n v="0"/>
    <n v="1"/>
    <n v="0.05"/>
    <n v="1"/>
    <n v="1"/>
    <n v="1"/>
    <n v="0.05"/>
    <n v="0.17073170731707318"/>
    <n v="0.2207317073170732"/>
  </r>
  <r>
    <s v="N203"/>
    <s v="N755"/>
    <x v="24"/>
    <s v="Kalazidis"/>
    <x v="239"/>
    <s v="DE"/>
    <n v="7000"/>
    <n v="22"/>
    <n v="1.0476190476190477"/>
    <n v="23"/>
    <n v="11"/>
    <n v="0.52380952380952384"/>
    <n v="14"/>
    <n v="23"/>
    <n v="1.1499999999999999"/>
    <n v="26"/>
    <n v="7"/>
    <n v="10"/>
    <n v="0.35"/>
    <n v="3.3414634146341466"/>
    <n v="4.491463414634147"/>
  </r>
  <r>
    <s v="N203"/>
    <s v="N755"/>
    <x v="24"/>
    <s v="Kalazidis"/>
    <x v="240"/>
    <s v="DE"/>
    <n v="7000"/>
    <n v="1"/>
    <n v="4.7619047619047616E-2"/>
    <n v="1"/>
    <n v="0"/>
    <n v="0"/>
    <n v="0"/>
    <n v="4"/>
    <n v="0.2"/>
    <n v="4"/>
    <n v="0"/>
    <n v="0"/>
    <n v="0"/>
    <n v="0.4390243902439025"/>
    <n v="0.63902439024390256"/>
  </r>
  <r>
    <s v="N203"/>
    <s v="N755"/>
    <x v="24"/>
    <s v="Kalazidis"/>
    <x v="241"/>
    <s v="DE"/>
    <n v="7000"/>
    <n v="2"/>
    <n v="9.5238095238095233E-2"/>
    <n v="2"/>
    <n v="0"/>
    <n v="0"/>
    <n v="0"/>
    <n v="2"/>
    <n v="0.1"/>
    <n v="2"/>
    <n v="0"/>
    <n v="0"/>
    <n v="0"/>
    <n v="0.17073170731707318"/>
    <n v="0.27073170731707319"/>
  </r>
  <r>
    <s v="N203"/>
    <s v="N755"/>
    <x v="24"/>
    <s v="Kalazidis"/>
    <x v="242"/>
    <s v="DE"/>
    <n v="7000"/>
    <n v="3"/>
    <n v="0.14285714285714285"/>
    <n v="3"/>
    <n v="5"/>
    <n v="0.23809523809523808"/>
    <n v="5"/>
    <n v="5"/>
    <n v="0.25"/>
    <n v="5"/>
    <n v="2"/>
    <n v="2"/>
    <n v="0.1"/>
    <n v="0.34146341463414642"/>
    <n v="0.59146341463414642"/>
  </r>
  <r>
    <s v="N203"/>
    <s v="N755"/>
    <x v="24"/>
    <s v="Kalazidis"/>
    <x v="243"/>
    <s v="DE"/>
    <n v="7000"/>
    <n v="3"/>
    <n v="0.14285714285714285"/>
    <n v="3"/>
    <n v="0"/>
    <n v="0"/>
    <n v="0"/>
    <n v="2"/>
    <n v="0.1"/>
    <n v="2"/>
    <n v="0"/>
    <n v="0"/>
    <n v="0"/>
    <n v="0.41463414634146339"/>
    <n v="0.51463414634146343"/>
  </r>
  <r>
    <s v="N203"/>
    <s v="N755"/>
    <x v="24"/>
    <s v="Kalazidis"/>
    <x v="244"/>
    <s v="DE"/>
    <n v="7000"/>
    <n v="2"/>
    <n v="9.5238095238095233E-2"/>
    <n v="2"/>
    <n v="0"/>
    <n v="0"/>
    <n v="0"/>
    <n v="1"/>
    <n v="0.05"/>
    <n v="1"/>
    <n v="0"/>
    <n v="0"/>
    <n v="0"/>
    <n v="0.14634146341463417"/>
    <n v="0.19634146341463415"/>
  </r>
  <r>
    <s v="N253"/>
    <s v="N744"/>
    <x v="16"/>
    <s v="Erdem"/>
    <x v="245"/>
    <s v="DE"/>
    <n v="7000"/>
    <n v="4"/>
    <n v="0.19047619047619047"/>
    <n v="4"/>
    <n v="2"/>
    <n v="9.5238095238095233E-2"/>
    <n v="2"/>
    <n v="10"/>
    <n v="0.5"/>
    <n v="10"/>
    <n v="6"/>
    <n v="7"/>
    <n v="0.3"/>
    <n v="1.536585365853659"/>
    <n v="2.036585365853659"/>
  </r>
  <r>
    <s v="N253"/>
    <s v="N744"/>
    <x v="16"/>
    <s v="Erdem"/>
    <x v="246"/>
    <s v="DE"/>
    <n v="7000"/>
    <n v="15"/>
    <n v="0.7142857142857143"/>
    <n v="15"/>
    <n v="5"/>
    <n v="0.23809523809523808"/>
    <n v="5"/>
    <n v="10"/>
    <n v="0.5"/>
    <n v="11"/>
    <n v="3"/>
    <n v="3"/>
    <n v="0.15"/>
    <n v="0.95121951219512202"/>
    <n v="1.4512195121951219"/>
  </r>
  <r>
    <s v="N253"/>
    <s v="N744"/>
    <x v="16"/>
    <s v="Erdem"/>
    <x v="247"/>
    <s v="DE"/>
    <n v="7000"/>
    <n v="3"/>
    <n v="0.14285714285714285"/>
    <n v="3"/>
    <n v="0"/>
    <n v="0"/>
    <n v="0"/>
    <n v="2"/>
    <n v="0.1"/>
    <n v="2"/>
    <n v="0"/>
    <n v="0"/>
    <n v="0"/>
    <n v="0.70731707317073178"/>
    <n v="0.80731707317073176"/>
  </r>
  <r>
    <s v="N253"/>
    <s v="N744"/>
    <x v="16"/>
    <s v="Erdem"/>
    <x v="248"/>
    <s v="DE"/>
    <n v="7000"/>
    <n v="0"/>
    <n v="0"/>
    <n v="0"/>
    <n v="0"/>
    <n v="0"/>
    <n v="0"/>
    <n v="1"/>
    <n v="0.05"/>
    <n v="1"/>
    <n v="0"/>
    <n v="0"/>
    <n v="0"/>
    <n v="0.21951219512195125"/>
    <n v="0.26951219512195124"/>
  </r>
  <r>
    <s v="N253"/>
    <s v="N744"/>
    <x v="25"/>
    <s v="Erdem"/>
    <x v="249"/>
    <s v="DE"/>
    <n v="7000"/>
    <n v="14"/>
    <n v="0.66666666666666663"/>
    <n v="14"/>
    <n v="2"/>
    <n v="9.5238095238095233E-2"/>
    <n v="2"/>
    <n v="18"/>
    <n v="0.9"/>
    <n v="19"/>
    <n v="3"/>
    <n v="3"/>
    <n v="0.15"/>
    <n v="1.0731707317073171"/>
    <n v="1.973170731707317"/>
  </r>
  <r>
    <s v="N351"/>
    <s v="N754"/>
    <x v="25"/>
    <s v="AB Transporte"/>
    <x v="250"/>
    <s v="DE"/>
    <n v="7000"/>
    <n v="6"/>
    <n v="0.2857142857142857"/>
    <n v="6"/>
    <n v="1"/>
    <n v="4.7619047619047616E-2"/>
    <n v="1"/>
    <n v="9"/>
    <n v="0.45"/>
    <n v="9"/>
    <n v="0"/>
    <n v="0"/>
    <n v="0"/>
    <n v="1.5609756097560976"/>
    <n v="2.0109756097560978"/>
  </r>
  <r>
    <s v="N253"/>
    <s v="N744"/>
    <x v="25"/>
    <s v="Erdem"/>
    <x v="251"/>
    <s v="DE"/>
    <n v="7000"/>
    <n v="7"/>
    <n v="0.33333333333333331"/>
    <n v="8"/>
    <n v="5"/>
    <n v="0.23809523809523808"/>
    <n v="6"/>
    <n v="11"/>
    <n v="0.55000000000000004"/>
    <n v="11"/>
    <n v="9"/>
    <n v="9"/>
    <n v="0.45"/>
    <n v="1.0975609756097562"/>
    <n v="1.6475609756097562"/>
  </r>
  <r>
    <s v="N253"/>
    <s v="N744"/>
    <x v="25"/>
    <s v="Erdem"/>
    <x v="252"/>
    <s v="DE"/>
    <n v="7000"/>
    <n v="6"/>
    <n v="0.2857142857142857"/>
    <n v="6"/>
    <n v="0"/>
    <n v="0"/>
    <n v="0"/>
    <n v="7"/>
    <n v="0.35"/>
    <n v="7"/>
    <n v="1"/>
    <n v="1"/>
    <n v="0.05"/>
    <n v="9.7560975609756101E-2"/>
    <n v="0.44756097560975605"/>
  </r>
  <r>
    <s v="N253"/>
    <s v="N744"/>
    <x v="25"/>
    <s v="Erdem"/>
    <x v="253"/>
    <s v="DE"/>
    <n v="7000"/>
    <n v="27"/>
    <n v="1.2857142857142858"/>
    <n v="38"/>
    <n v="17"/>
    <n v="0.80952380952380953"/>
    <n v="35"/>
    <n v="14"/>
    <n v="0.7"/>
    <n v="18"/>
    <n v="14"/>
    <n v="30"/>
    <n v="0.7"/>
    <n v="1.1219512195121952"/>
    <n v="1.8219512195121952"/>
  </r>
  <r>
    <s v="N253"/>
    <s v="N744"/>
    <x v="25"/>
    <s v="Erdem"/>
    <x v="254"/>
    <s v="DE"/>
    <n v="7000"/>
    <n v="6"/>
    <n v="0.2857142857142857"/>
    <n v="6"/>
    <n v="1"/>
    <n v="4.7619047619047616E-2"/>
    <n v="1"/>
    <n v="5"/>
    <n v="0.25"/>
    <n v="5"/>
    <n v="1"/>
    <n v="1"/>
    <n v="0.05"/>
    <n v="0.31707317073170732"/>
    <n v="0.56707317073170738"/>
  </r>
  <r>
    <s v="N253"/>
    <s v="N744"/>
    <x v="25"/>
    <s v="Erdem"/>
    <x v="255"/>
    <s v="DE"/>
    <n v="7000"/>
    <n v="10"/>
    <n v="0.47619047619047616"/>
    <n v="11"/>
    <n v="0"/>
    <n v="0"/>
    <n v="0"/>
    <n v="10"/>
    <n v="0.5"/>
    <n v="10"/>
    <n v="0"/>
    <n v="0"/>
    <n v="0"/>
    <n v="0.24390243902439027"/>
    <n v="0.74390243902439024"/>
  </r>
  <r>
    <s v="N351"/>
    <s v="N754"/>
    <x v="25"/>
    <s v="AB Transporte"/>
    <x v="256"/>
    <s v="DE"/>
    <n v="7000"/>
    <n v="4"/>
    <n v="0.19047619047619047"/>
    <n v="4"/>
    <n v="0"/>
    <n v="0"/>
    <n v="0"/>
    <n v="6"/>
    <n v="0.3"/>
    <n v="6"/>
    <n v="0"/>
    <n v="0"/>
    <n v="0"/>
    <n v="0.51219512195121952"/>
    <n v="0.81219512195121957"/>
  </r>
  <r>
    <s v="N253"/>
    <s v="N744"/>
    <x v="25"/>
    <s v="Erdem"/>
    <x v="257"/>
    <s v="DE"/>
    <n v="7000"/>
    <n v="1"/>
    <n v="4.7619047619047616E-2"/>
    <n v="1"/>
    <n v="0"/>
    <n v="0"/>
    <n v="0"/>
    <n v="2"/>
    <n v="0.1"/>
    <n v="2"/>
    <n v="0"/>
    <n v="0"/>
    <n v="0"/>
    <n v="0.31707317073170738"/>
    <n v="0.41707317073170735"/>
  </r>
  <r>
    <s v="N253"/>
    <s v="N744"/>
    <x v="25"/>
    <s v="Erdem"/>
    <x v="258"/>
    <s v="DE"/>
    <n v="7000"/>
    <n v="4"/>
    <n v="0.19047619047619047"/>
    <n v="4"/>
    <n v="1"/>
    <n v="4.7619047619047616E-2"/>
    <n v="1"/>
    <n v="5"/>
    <n v="0.25"/>
    <n v="5"/>
    <n v="2"/>
    <n v="2"/>
    <n v="0.1"/>
    <n v="0.1951219512195122"/>
    <n v="0.4451219512195122"/>
  </r>
  <r>
    <s v="N253"/>
    <s v="N744"/>
    <x v="25"/>
    <s v="Erdem"/>
    <x v="259"/>
    <s v="DE"/>
    <n v="7000"/>
    <n v="0"/>
    <n v="0"/>
    <n v="0"/>
    <n v="0"/>
    <n v="0"/>
    <n v="0"/>
    <n v="2"/>
    <n v="0.1"/>
    <n v="2"/>
    <n v="0"/>
    <n v="0"/>
    <n v="0"/>
    <n v="0.21951219512195122"/>
    <n v="0.31951219512195123"/>
  </r>
  <r>
    <s v="N253"/>
    <s v="N744"/>
    <x v="25"/>
    <s v="Erdem"/>
    <x v="260"/>
    <s v="DE"/>
    <n v="7000"/>
    <n v="6"/>
    <n v="0.2857142857142857"/>
    <n v="6"/>
    <n v="3"/>
    <n v="0.14285714285714285"/>
    <n v="3"/>
    <n v="8"/>
    <n v="0.4"/>
    <n v="8"/>
    <n v="0"/>
    <n v="0"/>
    <n v="0"/>
    <n v="0.24390243902439024"/>
    <n v="0.64390243902439026"/>
  </r>
  <r>
    <s v="N253"/>
    <s v="N744"/>
    <x v="25"/>
    <s v="Erdem"/>
    <x v="261"/>
    <s v="DE"/>
    <n v="7000"/>
    <n v="4"/>
    <n v="0.19047619047619047"/>
    <n v="4"/>
    <n v="12"/>
    <n v="0.5714285714285714"/>
    <n v="33"/>
    <n v="6"/>
    <n v="0.3"/>
    <n v="6"/>
    <n v="7"/>
    <n v="15"/>
    <n v="0.35"/>
    <n v="0.14634146341463417"/>
    <n v="0.44634146341463415"/>
  </r>
  <r>
    <s v="N253"/>
    <s v="N744"/>
    <x v="25"/>
    <s v="Erdem"/>
    <x v="262"/>
    <s v="DE"/>
    <n v="7000"/>
    <n v="1"/>
    <n v="4.7619047619047616E-2"/>
    <n v="1"/>
    <n v="0"/>
    <n v="0"/>
    <n v="0"/>
    <n v="1"/>
    <n v="0.05"/>
    <n v="1"/>
    <n v="0"/>
    <n v="0"/>
    <n v="0"/>
    <n v="2.4390243902439025E-2"/>
    <n v="7.4390243902439035E-2"/>
  </r>
  <r>
    <s v="N253"/>
    <s v="N744"/>
    <x v="25"/>
    <s v="Erdem"/>
    <x v="263"/>
    <s v="DE"/>
    <n v="7000"/>
    <n v="0"/>
    <n v="0"/>
    <n v="0"/>
    <n v="0"/>
    <n v="0"/>
    <n v="0"/>
    <n v="5"/>
    <n v="0.25"/>
    <n v="5"/>
    <n v="0"/>
    <n v="0"/>
    <n v="0"/>
    <n v="0.19512195121951217"/>
    <n v="0.44512195121951215"/>
  </r>
  <r>
    <s v="N253"/>
    <s v="N744"/>
    <x v="25"/>
    <s v="Erdem"/>
    <x v="264"/>
    <s v="DE"/>
    <n v="7000"/>
    <n v="0"/>
    <n v="0"/>
    <n v="0"/>
    <n v="0"/>
    <n v="0"/>
    <n v="0"/>
    <n v="2"/>
    <n v="0.1"/>
    <n v="2"/>
    <n v="0"/>
    <n v="0"/>
    <n v="0"/>
    <n v="2.4390243902439025E-2"/>
    <n v="0.12439024390243902"/>
  </r>
  <r>
    <s v="N253"/>
    <s v="N744"/>
    <x v="25"/>
    <s v="Erdem"/>
    <x v="265"/>
    <s v="DE"/>
    <n v="7000"/>
    <n v="24"/>
    <n v="1.1428571428571428"/>
    <n v="24"/>
    <n v="4"/>
    <n v="0.19047619047619047"/>
    <n v="4"/>
    <n v="24"/>
    <n v="1.2"/>
    <n v="25"/>
    <n v="4"/>
    <n v="4"/>
    <n v="0.2"/>
    <n v="1.6585365853658538"/>
    <n v="2.8585365853658535"/>
  </r>
  <r>
    <s v="N253"/>
    <s v="N744"/>
    <x v="25"/>
    <s v="Erdem"/>
    <x v="266"/>
    <s v="DE"/>
    <n v="7000"/>
    <n v="4"/>
    <n v="0.19047619047619047"/>
    <n v="4"/>
    <n v="1"/>
    <n v="4.7619047619047616E-2"/>
    <n v="1"/>
    <n v="2"/>
    <n v="0.1"/>
    <n v="2"/>
    <n v="1"/>
    <n v="1"/>
    <n v="0.05"/>
    <n v="0.3902439024390244"/>
    <n v="0.49024390243902438"/>
  </r>
  <r>
    <s v="N251"/>
    <s v="N741"/>
    <x v="16"/>
    <s v="Erdem"/>
    <x v="267"/>
    <s v="DE"/>
    <n v="7000"/>
    <n v="14"/>
    <n v="0.66666666666666663"/>
    <n v="14"/>
    <n v="1"/>
    <n v="4.7619047619047616E-2"/>
    <n v="1"/>
    <n v="8"/>
    <n v="0.4"/>
    <n v="8"/>
    <n v="1"/>
    <n v="1"/>
    <n v="0.05"/>
    <n v="0.97560975609756095"/>
    <n v="1.3756097560975609"/>
  </r>
  <r>
    <s v="N251"/>
    <s v="N741"/>
    <x v="16"/>
    <s v="Erdem"/>
    <x v="268"/>
    <s v="DE"/>
    <n v="7000"/>
    <n v="57"/>
    <n v="2.7142857142857144"/>
    <n v="68"/>
    <n v="15"/>
    <n v="0.7142857142857143"/>
    <n v="17"/>
    <n v="68"/>
    <n v="3.4"/>
    <n v="74"/>
    <n v="10"/>
    <n v="10"/>
    <n v="0.5"/>
    <n v="2.3170731707317076"/>
    <n v="5.7170731707317071"/>
  </r>
  <r>
    <s v="N251"/>
    <s v="N741"/>
    <x v="16"/>
    <s v="Erdem"/>
    <x v="269"/>
    <s v="DE"/>
    <n v="7000"/>
    <n v="25"/>
    <n v="1.1904761904761905"/>
    <n v="25"/>
    <n v="35"/>
    <n v="1.6666666666666667"/>
    <n v="66"/>
    <n v="25"/>
    <n v="1.25"/>
    <n v="26"/>
    <n v="28"/>
    <n v="58"/>
    <n v="1.4"/>
    <n v="1.6097560975609757"/>
    <n v="2.8597560975609757"/>
  </r>
  <r>
    <s v="N251"/>
    <s v="N741"/>
    <x v="26"/>
    <s v="Erdem"/>
    <x v="270"/>
    <s v="DE"/>
    <n v="7000"/>
    <n v="48"/>
    <n v="2.2857142857142856"/>
    <n v="54"/>
    <n v="1"/>
    <n v="4.7619047619047616E-2"/>
    <n v="1"/>
    <n v="54"/>
    <n v="2.7"/>
    <n v="63"/>
    <n v="1"/>
    <n v="1"/>
    <n v="0.05"/>
    <n v="2.5365853658536586"/>
    <n v="5.2365853658536583"/>
  </r>
  <r>
    <s v="N251"/>
    <s v="N741"/>
    <x v="26"/>
    <s v="Erdem"/>
    <x v="271"/>
    <s v="DE"/>
    <n v="7000"/>
    <n v="9"/>
    <n v="0.42857142857142855"/>
    <n v="9"/>
    <n v="4"/>
    <n v="0.19047619047619047"/>
    <n v="5"/>
    <n v="13"/>
    <n v="0.65"/>
    <n v="13"/>
    <n v="1"/>
    <n v="1"/>
    <n v="0.05"/>
    <n v="1.6585365853658538"/>
    <n v="2.3085365853658537"/>
  </r>
  <r>
    <s v="N251"/>
    <s v="N741"/>
    <x v="15"/>
    <s v="Erdem"/>
    <x v="272"/>
    <s v="DE"/>
    <n v="7000"/>
    <n v="9"/>
    <n v="0.42857142857142855"/>
    <n v="10"/>
    <n v="2"/>
    <n v="9.5238095238095233E-2"/>
    <n v="2"/>
    <n v="6"/>
    <n v="0.3"/>
    <n v="6"/>
    <n v="2"/>
    <n v="2"/>
    <n v="0.1"/>
    <n v="0.46341463414634149"/>
    <n v="0.76341463414634148"/>
  </r>
  <r>
    <s v="N102"/>
    <s v="N743"/>
    <x v="26"/>
    <s v="V1"/>
    <x v="273"/>
    <s v="DE"/>
    <n v="7000"/>
    <n v="8"/>
    <n v="0.38095238095238093"/>
    <n v="8"/>
    <n v="12"/>
    <n v="0.5714285714285714"/>
    <n v="89"/>
    <n v="16"/>
    <n v="0.8"/>
    <n v="16"/>
    <n v="16"/>
    <n v="93"/>
    <n v="0.8"/>
    <n v="1.8536585365853659"/>
    <n v="2.653658536585366"/>
  </r>
  <r>
    <s v="N251"/>
    <s v="N741"/>
    <x v="26"/>
    <s v="Erdem"/>
    <x v="274"/>
    <s v="DE"/>
    <n v="7000"/>
    <n v="5"/>
    <n v="0.23809523809523808"/>
    <n v="6"/>
    <n v="0"/>
    <n v="0"/>
    <n v="0"/>
    <n v="4"/>
    <n v="0.2"/>
    <n v="4"/>
    <n v="0"/>
    <n v="0"/>
    <n v="0"/>
    <n v="0.26829268292682928"/>
    <n v="0.4682926829268293"/>
  </r>
  <r>
    <s v="N102"/>
    <s v="N743"/>
    <x v="26"/>
    <s v="V1"/>
    <x v="275"/>
    <s v="DE"/>
    <n v="7000"/>
    <n v="1"/>
    <n v="4.7619047619047616E-2"/>
    <n v="1"/>
    <n v="0"/>
    <n v="0"/>
    <n v="0"/>
    <n v="0"/>
    <n v="0"/>
    <n v="0"/>
    <n v="0"/>
    <n v="0"/>
    <n v="0"/>
    <n v="9.7560975609756101E-2"/>
    <n v="9.7560975609756101E-2"/>
  </r>
  <r>
    <s v="N102"/>
    <s v="N743"/>
    <x v="26"/>
    <s v="V1"/>
    <x v="276"/>
    <s v="DE"/>
    <n v="7000"/>
    <n v="2"/>
    <n v="9.5238095238095233E-2"/>
    <n v="2"/>
    <n v="5"/>
    <n v="0.23809523809523808"/>
    <n v="5"/>
    <n v="5"/>
    <n v="0.25"/>
    <n v="5"/>
    <n v="3"/>
    <n v="3"/>
    <n v="0.15"/>
    <n v="1.0975609756097562"/>
    <n v="1.3475609756097562"/>
  </r>
  <r>
    <s v="N101"/>
    <s v="N740"/>
    <x v="15"/>
    <s v="V1"/>
    <x v="277"/>
    <s v="DE"/>
    <n v="7000"/>
    <n v="2"/>
    <n v="9.5238095238095233E-2"/>
    <n v="2"/>
    <n v="0"/>
    <n v="0"/>
    <n v="0"/>
    <n v="0"/>
    <n v="0"/>
    <n v="0"/>
    <n v="0"/>
    <n v="0"/>
    <n v="0"/>
    <n v="0"/>
    <n v="0"/>
  </r>
  <r>
    <s v="N102"/>
    <s v="N743"/>
    <x v="26"/>
    <s v="V1"/>
    <x v="278"/>
    <s v="DE"/>
    <n v="7000"/>
    <n v="1"/>
    <n v="4.7619047619047616E-2"/>
    <n v="1"/>
    <n v="0"/>
    <n v="0"/>
    <n v="0"/>
    <n v="1"/>
    <n v="0.05"/>
    <n v="1"/>
    <n v="0"/>
    <n v="0"/>
    <n v="0"/>
    <n v="4.878048780487805E-2"/>
    <n v="9.8780487804878053E-2"/>
  </r>
  <r>
    <s v="N251"/>
    <s v="N741"/>
    <x v="15"/>
    <s v="Erdem"/>
    <x v="279"/>
    <s v="DE"/>
    <n v="7000"/>
    <n v="1"/>
    <n v="4.7619047619047616E-2"/>
    <n v="1"/>
    <n v="0"/>
    <n v="0"/>
    <n v="0"/>
    <n v="0"/>
    <n v="0"/>
    <n v="0"/>
    <n v="0"/>
    <n v="0"/>
    <n v="0"/>
    <n v="0.26829268292682928"/>
    <n v="0.26829268292682928"/>
  </r>
  <r>
    <s v="N101"/>
    <s v="N740"/>
    <x v="15"/>
    <s v="V1"/>
    <x v="280"/>
    <s v="DE"/>
    <n v="7000"/>
    <n v="3"/>
    <n v="0.14285714285714285"/>
    <n v="4"/>
    <n v="0"/>
    <n v="0"/>
    <n v="0"/>
    <n v="3"/>
    <n v="0.15"/>
    <n v="3"/>
    <n v="0"/>
    <n v="0"/>
    <n v="0"/>
    <n v="9.7560975609756101E-2"/>
    <n v="0.2475609756097561"/>
  </r>
  <r>
    <s v="N102"/>
    <s v="N743"/>
    <x v="26"/>
    <s v="V1"/>
    <x v="281"/>
    <s v="DE"/>
    <n v="7000"/>
    <n v="2"/>
    <n v="9.5238095238095233E-2"/>
    <n v="2"/>
    <n v="16"/>
    <n v="0.76190476190476186"/>
    <n v="64"/>
    <n v="1"/>
    <n v="0.05"/>
    <n v="1"/>
    <n v="13"/>
    <n v="61"/>
    <n v="0.65"/>
    <n v="0.29268292682926833"/>
    <n v="0.34268292682926832"/>
  </r>
  <r>
    <s v="N251"/>
    <s v="N741"/>
    <x v="26"/>
    <s v="Erdem"/>
    <x v="282"/>
    <s v="DE"/>
    <n v="7000"/>
    <n v="0"/>
    <n v="0"/>
    <n v="0"/>
    <n v="0"/>
    <n v="0"/>
    <n v="0"/>
    <n v="3"/>
    <n v="0.15"/>
    <n v="3"/>
    <n v="0"/>
    <n v="0"/>
    <n v="0"/>
    <n v="2.4390243902439025E-2"/>
    <n v="0.17439024390243901"/>
  </r>
  <r>
    <s v="N200"/>
    <s v="N715"/>
    <x v="27"/>
    <s v="Kalazidis"/>
    <x v="283"/>
    <s v="DE"/>
    <n v="7000"/>
    <n v="3"/>
    <n v="0.14285714285714285"/>
    <n v="3"/>
    <n v="0"/>
    <n v="0"/>
    <n v="0"/>
    <n v="5"/>
    <n v="0.25"/>
    <n v="5"/>
    <n v="0"/>
    <n v="0"/>
    <n v="0"/>
    <n v="1.1463414634146343"/>
    <n v="1.3963414634146343"/>
  </r>
  <r>
    <s v="N200"/>
    <s v="N715"/>
    <x v="27"/>
    <s v="Kalazidis"/>
    <x v="284"/>
    <s v="DE"/>
    <n v="7000"/>
    <n v="2"/>
    <n v="9.5238095238095233E-2"/>
    <n v="2"/>
    <n v="0"/>
    <n v="0"/>
    <n v="0"/>
    <n v="6"/>
    <n v="0.3"/>
    <n v="6"/>
    <n v="0"/>
    <n v="0"/>
    <n v="0"/>
    <n v="0.26829268292682923"/>
    <n v="0.56829268292682922"/>
  </r>
  <r>
    <s v="N200"/>
    <s v="N715"/>
    <x v="27"/>
    <s v="Kalazidis"/>
    <x v="285"/>
    <s v="DE"/>
    <n v="7000"/>
    <n v="6"/>
    <n v="0.2857142857142857"/>
    <n v="6"/>
    <n v="0"/>
    <n v="0"/>
    <n v="0"/>
    <n v="4"/>
    <n v="0.2"/>
    <n v="4"/>
    <n v="1"/>
    <n v="1"/>
    <n v="0.05"/>
    <n v="0.73170731707317072"/>
    <n v="0.93170731707317067"/>
  </r>
  <r>
    <s v="N200"/>
    <s v="N715"/>
    <x v="27"/>
    <s v="Kalazidis"/>
    <x v="286"/>
    <s v="DE"/>
    <n v="7000"/>
    <n v="21"/>
    <n v="1"/>
    <n v="21"/>
    <n v="3"/>
    <n v="0.14285714285714285"/>
    <n v="3"/>
    <n v="23"/>
    <n v="1.1499999999999999"/>
    <n v="24"/>
    <n v="2"/>
    <n v="2"/>
    <n v="0.1"/>
    <n v="1.9756097560975612"/>
    <n v="3.1256097560975613"/>
  </r>
  <r>
    <s v="N200"/>
    <s v="N715"/>
    <x v="27"/>
    <s v="Kalazidis"/>
    <x v="287"/>
    <s v="DE"/>
    <n v="7000"/>
    <n v="30"/>
    <n v="1.4285714285714286"/>
    <n v="30"/>
    <n v="1"/>
    <n v="4.7619047619047616E-2"/>
    <n v="1"/>
    <n v="19"/>
    <n v="0.95"/>
    <n v="19"/>
    <n v="4"/>
    <n v="6"/>
    <n v="0.2"/>
    <n v="2.8536585365853657"/>
    <n v="3.8036585365853659"/>
  </r>
  <r>
    <s v="N200"/>
    <s v="N715"/>
    <x v="27"/>
    <s v="Kalazidis"/>
    <x v="288"/>
    <s v="DE"/>
    <n v="7000"/>
    <n v="2"/>
    <n v="9.5238095238095233E-2"/>
    <n v="2"/>
    <n v="0"/>
    <n v="0"/>
    <n v="0"/>
    <n v="3"/>
    <n v="0.15"/>
    <n v="3"/>
    <n v="0"/>
    <n v="0"/>
    <n v="0"/>
    <n v="0.17073170731707318"/>
    <n v="0.32073170731707318"/>
  </r>
  <r>
    <s v="N200"/>
    <s v="N715"/>
    <x v="27"/>
    <s v="Kalazidis"/>
    <x v="289"/>
    <s v="DE"/>
    <n v="7000"/>
    <n v="11"/>
    <n v="0.52380952380952384"/>
    <n v="11"/>
    <n v="2"/>
    <n v="9.5238095238095233E-2"/>
    <n v="2"/>
    <n v="14"/>
    <n v="0.7"/>
    <n v="14"/>
    <n v="2"/>
    <n v="2"/>
    <n v="0.1"/>
    <n v="0.97560975609756095"/>
    <n v="1.6756097560975609"/>
  </r>
  <r>
    <s v="N200"/>
    <s v="N715"/>
    <x v="27"/>
    <s v="Kalazidis"/>
    <x v="290"/>
    <s v="DE"/>
    <n v="7000"/>
    <n v="17"/>
    <n v="0.80952380952380953"/>
    <n v="17"/>
    <n v="1"/>
    <n v="4.7619047619047616E-2"/>
    <n v="1"/>
    <n v="15"/>
    <n v="0.75"/>
    <n v="15"/>
    <n v="0"/>
    <n v="0"/>
    <n v="0"/>
    <n v="1.3902439024390245"/>
    <n v="2.1402439024390247"/>
  </r>
  <r>
    <s v="N200"/>
    <s v="N715"/>
    <x v="27"/>
    <s v="Kalazidis"/>
    <x v="291"/>
    <s v="DE"/>
    <n v="7000"/>
    <n v="12"/>
    <n v="0.5714285714285714"/>
    <n v="12"/>
    <n v="2"/>
    <n v="9.5238095238095233E-2"/>
    <n v="2"/>
    <n v="0"/>
    <n v="0"/>
    <n v="0"/>
    <n v="1"/>
    <n v="1"/>
    <n v="0.05"/>
    <n v="0.51219512195121952"/>
    <n v="0.51219512195121952"/>
  </r>
  <r>
    <s v="N200"/>
    <s v="N715"/>
    <x v="27"/>
    <s v="Kalazidis"/>
    <x v="292"/>
    <s v="DE"/>
    <n v="7000"/>
    <n v="14"/>
    <n v="0.66666666666666663"/>
    <n v="18"/>
    <n v="2"/>
    <n v="9.5238095238095233E-2"/>
    <n v="2"/>
    <n v="11"/>
    <n v="0.55000000000000004"/>
    <n v="11"/>
    <n v="0"/>
    <n v="0"/>
    <n v="0"/>
    <n v="0.17073170731707316"/>
    <n v="0.72073170731707314"/>
  </r>
  <r>
    <s v="N200"/>
    <s v="N715"/>
    <x v="27"/>
    <s v="Kalazidis"/>
    <x v="293"/>
    <s v="DE"/>
    <n v="7000"/>
    <n v="1"/>
    <n v="4.7619047619047616E-2"/>
    <n v="1"/>
    <n v="0"/>
    <n v="0"/>
    <n v="0"/>
    <n v="2"/>
    <n v="0.1"/>
    <n v="2"/>
    <n v="0"/>
    <n v="0"/>
    <n v="0"/>
    <n v="0.14634146341463417"/>
    <n v="0.24634146341463417"/>
  </r>
  <r>
    <s v="N200"/>
    <s v="N715"/>
    <x v="27"/>
    <s v="Kalazidis"/>
    <x v="294"/>
    <s v="DE"/>
    <n v="7000"/>
    <n v="2"/>
    <n v="9.5238095238095233E-2"/>
    <n v="2"/>
    <n v="4"/>
    <n v="0.19047619047619047"/>
    <n v="5"/>
    <n v="3"/>
    <n v="0.15"/>
    <n v="3"/>
    <n v="5"/>
    <n v="5"/>
    <n v="0.25"/>
    <n v="0.17073170731707316"/>
    <n v="0.32073170731707312"/>
  </r>
  <r>
    <s v="N200"/>
    <s v="N715"/>
    <x v="27"/>
    <s v="Kalazidis"/>
    <x v="295"/>
    <s v="DE"/>
    <n v="7000"/>
    <n v="2"/>
    <n v="9.5238095238095233E-2"/>
    <n v="2"/>
    <n v="3"/>
    <n v="0.14285714285714285"/>
    <n v="3"/>
    <n v="3"/>
    <n v="0.15"/>
    <n v="3"/>
    <n v="4"/>
    <n v="4"/>
    <n v="0.2"/>
    <n v="0.34146341463414642"/>
    <n v="0.49146341463414644"/>
  </r>
  <r>
    <s v="N200"/>
    <s v="N715"/>
    <x v="27"/>
    <s v="Kalazidis"/>
    <x v="296"/>
    <s v="DE"/>
    <n v="7000"/>
    <n v="2"/>
    <n v="9.5238095238095233E-2"/>
    <n v="2"/>
    <n v="2"/>
    <n v="9.5238095238095233E-2"/>
    <n v="2"/>
    <n v="2"/>
    <n v="0.1"/>
    <n v="2"/>
    <n v="3"/>
    <n v="3"/>
    <n v="0.15"/>
    <n v="0.12195121951219513"/>
    <n v="0.22195121951219515"/>
  </r>
  <r>
    <s v="N200"/>
    <s v="N715"/>
    <x v="27"/>
    <s v="Kalazidis"/>
    <x v="297"/>
    <s v="DE"/>
    <n v="7000"/>
    <n v="2"/>
    <n v="9.5238095238095233E-2"/>
    <n v="2"/>
    <n v="16"/>
    <n v="0.76190476190476186"/>
    <n v="17"/>
    <n v="4"/>
    <n v="0.2"/>
    <n v="4"/>
    <n v="9"/>
    <n v="12"/>
    <n v="0.45"/>
    <n v="0.48780487804878048"/>
    <n v="0.68780487804878043"/>
  </r>
  <r>
    <s v="N200"/>
    <s v="N715"/>
    <x v="27"/>
    <s v="Kalazidis"/>
    <x v="298"/>
    <s v="DE"/>
    <n v="7000"/>
    <n v="0"/>
    <n v="0"/>
    <n v="0"/>
    <n v="2"/>
    <n v="9.5238095238095233E-2"/>
    <n v="2"/>
    <n v="4"/>
    <n v="0.2"/>
    <n v="4"/>
    <n v="3"/>
    <n v="4"/>
    <n v="0.15"/>
    <n v="0.34146341463414631"/>
    <n v="0.54146341463414638"/>
  </r>
  <r>
    <s v="N200"/>
    <s v="N715"/>
    <x v="27"/>
    <s v="Kalazidis"/>
    <x v="299"/>
    <s v="DE"/>
    <n v="7000"/>
    <n v="1"/>
    <n v="4.7619047619047616E-2"/>
    <n v="1"/>
    <n v="0"/>
    <n v="0"/>
    <n v="0"/>
    <n v="1"/>
    <n v="0.05"/>
    <n v="1"/>
    <n v="0"/>
    <n v="0"/>
    <n v="0"/>
    <n v="0"/>
    <n v="0.05"/>
  </r>
  <r>
    <s v="N200"/>
    <s v="N715"/>
    <x v="27"/>
    <s v="Kalazidis"/>
    <x v="300"/>
    <s v="DE"/>
    <n v="7000"/>
    <n v="0"/>
    <n v="0"/>
    <n v="0"/>
    <n v="2"/>
    <n v="9.5238095238095233E-2"/>
    <n v="2"/>
    <n v="0"/>
    <n v="0"/>
    <n v="0"/>
    <n v="0"/>
    <n v="0"/>
    <n v="0"/>
    <n v="0.3902439024390244"/>
    <n v="0.3902439024390244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1847C4E-882F-4148-A467-EB988C64397D}" name="PivotTable1" cacheId="0" applyNumberFormats="0" applyBorderFormats="0" applyFontFormats="0" applyPatternFormats="0" applyAlignmentFormats="0" applyWidthHeightFormats="1" dataCaption="Werte" updatedVersion="6" minRefreshableVersion="3" useAutoFormatting="1" itemPrintTitles="1" createdVersion="6" indent="0" outline="1" outlineData="1" multipleFieldFilters="0">
  <location ref="A3:D32" firstHeaderRow="0" firstDataRow="1" firstDataCol="1"/>
  <pivotFields count="22">
    <pivotField showAll="0"/>
    <pivotField showAll="0"/>
    <pivotField axis="axisRow" showAll="0" sortType="ascending">
      <items count="29">
        <item sd="0" x="1"/>
        <item sd="0" x="0"/>
        <item sd="0" x="3"/>
        <item sd="0" x="2"/>
        <item sd="0" x="5"/>
        <item sd="0" x="4"/>
        <item sd="0" x="6"/>
        <item sd="0" x="7"/>
        <item sd="0" x="8"/>
        <item sd="0" x="11"/>
        <item sd="0" x="10"/>
        <item sd="0" x="9"/>
        <item sd="0" x="13"/>
        <item sd="0" x="12"/>
        <item sd="0" x="15"/>
        <item sd="0" x="17"/>
        <item sd="0" x="18"/>
        <item sd="0" x="19"/>
        <item sd="0" x="21"/>
        <item sd="0" x="20"/>
        <item sd="0" x="22"/>
        <item sd="0" x="23"/>
        <item sd="0" x="14"/>
        <item sd="0" x="24"/>
        <item sd="0" x="25"/>
        <item sd="0" x="26"/>
        <item sd="0" x="16"/>
        <item sd="0" x="27"/>
        <item t="default" sd="0"/>
      </items>
    </pivotField>
    <pivotField showAll="0"/>
    <pivotField axis="axisRow" showAll="0">
      <items count="302"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169"/>
        <item x="170"/>
        <item x="39"/>
        <item x="216"/>
        <item x="217"/>
        <item x="40"/>
        <item x="41"/>
        <item x="42"/>
        <item x="43"/>
        <item x="44"/>
        <item x="45"/>
        <item x="46"/>
        <item x="47"/>
        <item x="171"/>
        <item x="156"/>
        <item x="157"/>
        <item x="158"/>
        <item x="159"/>
        <item x="160"/>
        <item x="161"/>
        <item x="162"/>
        <item x="163"/>
        <item x="7"/>
        <item x="8"/>
        <item x="164"/>
        <item x="165"/>
        <item x="48"/>
        <item x="195"/>
        <item x="172"/>
        <item x="119"/>
        <item x="120"/>
        <item x="121"/>
        <item x="122"/>
        <item x="123"/>
        <item x="124"/>
        <item x="125"/>
        <item x="126"/>
        <item x="127"/>
        <item x="128"/>
        <item x="173"/>
        <item x="129"/>
        <item x="130"/>
        <item x="131"/>
        <item x="132"/>
        <item x="133"/>
        <item x="134"/>
        <item x="135"/>
        <item x="166"/>
        <item x="136"/>
        <item x="137"/>
        <item x="138"/>
        <item x="139"/>
        <item x="229"/>
        <item x="174"/>
        <item x="196"/>
        <item x="175"/>
        <item x="176"/>
        <item x="177"/>
        <item x="197"/>
        <item x="198"/>
        <item x="199"/>
        <item x="200"/>
        <item x="201"/>
        <item x="202"/>
        <item x="9"/>
        <item x="0"/>
        <item x="1"/>
        <item x="2"/>
        <item x="209"/>
        <item x="210"/>
        <item x="10"/>
        <item x="11"/>
        <item x="12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203"/>
        <item x="105"/>
        <item x="106"/>
        <item x="13"/>
        <item x="107"/>
        <item x="108"/>
        <item x="204"/>
        <item x="205"/>
        <item x="109"/>
        <item x="143"/>
        <item x="144"/>
        <item x="145"/>
        <item x="110"/>
        <item x="111"/>
        <item x="112"/>
        <item x="206"/>
        <item x="113"/>
        <item x="207"/>
        <item x="49"/>
        <item x="50"/>
        <item x="51"/>
        <item x="52"/>
        <item x="53"/>
        <item x="54"/>
        <item x="140"/>
        <item x="55"/>
        <item x="56"/>
        <item x="57"/>
        <item x="141"/>
        <item x="58"/>
        <item x="167"/>
        <item x="59"/>
        <item x="60"/>
        <item x="61"/>
        <item x="230"/>
        <item x="231"/>
        <item x="232"/>
        <item x="233"/>
        <item x="234"/>
        <item x="235"/>
        <item x="236"/>
        <item x="237"/>
        <item x="73"/>
        <item x="74"/>
        <item x="75"/>
        <item x="76"/>
        <item x="14"/>
        <item x="168"/>
        <item x="15"/>
        <item x="16"/>
        <item x="17"/>
        <item x="77"/>
        <item x="78"/>
        <item x="79"/>
        <item x="80"/>
        <item x="18"/>
        <item x="81"/>
        <item x="82"/>
        <item x="83"/>
        <item x="84"/>
        <item x="85"/>
        <item x="19"/>
        <item x="62"/>
        <item x="63"/>
        <item x="64"/>
        <item x="65"/>
        <item x="66"/>
        <item x="67"/>
        <item x="68"/>
        <item x="69"/>
        <item x="70"/>
        <item x="71"/>
        <item x="72"/>
        <item x="218"/>
        <item x="219"/>
        <item x="20"/>
        <item x="21"/>
        <item x="22"/>
        <item x="220"/>
        <item x="211"/>
        <item x="212"/>
        <item x="3"/>
        <item x="4"/>
        <item x="213"/>
        <item x="5"/>
        <item x="214"/>
        <item x="6"/>
        <item x="215"/>
        <item x="221"/>
        <item x="222"/>
        <item x="223"/>
        <item x="224"/>
        <item x="225"/>
        <item x="23"/>
        <item x="24"/>
        <item x="25"/>
        <item x="226"/>
        <item x="227"/>
        <item x="228"/>
        <item x="267"/>
        <item x="146"/>
        <item x="268"/>
        <item x="269"/>
        <item x="147"/>
        <item x="148"/>
        <item x="270"/>
        <item x="271"/>
        <item x="272"/>
        <item x="149"/>
        <item x="245"/>
        <item x="273"/>
        <item x="150"/>
        <item x="274"/>
        <item x="246"/>
        <item x="151"/>
        <item x="247"/>
        <item x="275"/>
        <item x="152"/>
        <item x="276"/>
        <item x="277"/>
        <item x="278"/>
        <item x="279"/>
        <item x="280"/>
        <item x="248"/>
        <item x="281"/>
        <item x="282"/>
        <item x="114"/>
        <item x="249"/>
        <item x="250"/>
        <item x="153"/>
        <item x="251"/>
        <item x="252"/>
        <item x="154"/>
        <item x="253"/>
        <item x="254"/>
        <item x="255"/>
        <item x="256"/>
        <item x="257"/>
        <item x="258"/>
        <item x="115"/>
        <item x="259"/>
        <item x="116"/>
        <item x="155"/>
        <item x="260"/>
        <item x="261"/>
        <item x="262"/>
        <item x="117"/>
        <item x="118"/>
        <item x="263"/>
        <item x="264"/>
        <item x="183"/>
        <item x="265"/>
        <item x="184"/>
        <item x="266"/>
        <item x="185"/>
        <item x="186"/>
        <item x="187"/>
        <item x="283"/>
        <item x="284"/>
        <item x="285"/>
        <item x="286"/>
        <item x="287"/>
        <item x="288"/>
        <item x="289"/>
        <item x="290"/>
        <item x="291"/>
        <item x="292"/>
        <item x="178"/>
        <item x="293"/>
        <item x="294"/>
        <item x="295"/>
        <item x="188"/>
        <item x="296"/>
        <item x="297"/>
        <item x="238"/>
        <item x="298"/>
        <item x="239"/>
        <item x="240"/>
        <item x="179"/>
        <item x="241"/>
        <item x="242"/>
        <item x="243"/>
        <item x="180"/>
        <item x="142"/>
        <item x="244"/>
        <item x="181"/>
        <item x="182"/>
        <item x="299"/>
        <item x="189"/>
        <item x="190"/>
        <item x="191"/>
        <item x="192"/>
        <item x="193"/>
        <item x="208"/>
        <item x="194"/>
        <item x="300"/>
        <item t="default"/>
      </items>
    </pivotField>
    <pivotField showAll="0"/>
    <pivotField showAll="0"/>
    <pivotField numFmtId="2" showAll="0"/>
    <pivotField numFmtId="2" showAll="0"/>
    <pivotField numFmtId="2" showAll="0"/>
    <pivotField numFmtId="2" showAll="0"/>
    <pivotField numFmtId="2" showAll="0"/>
    <pivotField numFmtId="2" showAll="0"/>
    <pivotField numFmtId="2" showAll="0"/>
    <pivotField numFmtId="2" showAll="0"/>
    <pivotField numFmtId="2" showAll="0"/>
    <pivotField numFmtId="2" showAll="0"/>
    <pivotField numFmtId="2" showAll="0"/>
    <pivotField dataField="1" numFmtId="2" showAll="0"/>
    <pivotField numFmtId="2" showAll="0"/>
    <pivotField dataField="1" numFmtId="2" showAll="0"/>
    <pivotField dataField="1" dragToRow="0" dragToCol="0" dragToPage="0" showAll="0" defaultSubtotal="0"/>
  </pivotFields>
  <rowFields count="2">
    <field x="2"/>
    <field x="4"/>
  </rowFields>
  <rowItems count="29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 t="grand">
      <x/>
    </i>
  </rowItems>
  <colFields count="1">
    <field x="-2"/>
  </colFields>
  <colItems count="3">
    <i>
      <x/>
    </i>
    <i i="1">
      <x v="1"/>
    </i>
    <i i="2">
      <x v="2"/>
    </i>
  </colItems>
  <dataFields count="3">
    <dataField name="Summe von Stopps Zustellung/AT ab 01.01.2026" fld="20" baseField="2" baseItem="0" numFmtId="2"/>
    <dataField name="Summe von Stopps Abholung AT / April" fld="18" baseField="2" baseItem="0" numFmtId="2"/>
    <dataField name="Summe von Angenommen Gesamtstopps ab 01.01.2026" fld="21" baseField="0" baseItem="0" numFmtId="2"/>
  </dataFields>
  <formats count="5">
    <format dxfId="4">
      <pivotArea field="2" type="button" dataOnly="0" labelOnly="1" outline="0" axis="axisRow" fieldPosition="0"/>
    </format>
    <format dxfId="3">
      <pivotArea dataOnly="0" labelOnly="1" outline="0" fieldPosition="0">
        <references count="1">
          <reference field="4294967294" count="3">
            <x v="0"/>
            <x v="1"/>
            <x v="2"/>
          </reference>
        </references>
      </pivotArea>
    </format>
    <format dxfId="2">
      <pivotArea outline="0" collapsedLevelsAreSubtotals="1" fieldPosition="0">
        <references count="1">
          <reference field="4294967294" count="1" selected="0">
            <x v="2"/>
          </reference>
        </references>
      </pivotArea>
    </format>
    <format dxfId="1">
      <pivotArea dataOnly="0" labelOnly="1" outline="0" fieldPosition="0">
        <references count="1">
          <reference field="4294967294" count="1">
            <x v="2"/>
          </reference>
        </references>
      </pivotArea>
    </format>
    <format dxfId="0">
      <pivotArea outline="0" fieldPosition="0">
        <references count="1">
          <reference field="4294967294" count="1">
            <x v="1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2013 – 2022-Design">
  <a:themeElements>
    <a:clrScheme name="Office 2013 –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–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–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DD3A87-F1BD-448E-B7D6-695A55E162AD}">
  <dimension ref="A3:N32"/>
  <sheetViews>
    <sheetView zoomScale="110" zoomScaleNormal="110" workbookViewId="0">
      <selection activeCell="D3" sqref="D3"/>
    </sheetView>
  </sheetViews>
  <sheetFormatPr baseColWidth="10" defaultColWidth="11.42578125" defaultRowHeight="15" x14ac:dyDescent="0.25"/>
  <cols>
    <col min="1" max="1" width="22.42578125" bestFit="1" customWidth="1"/>
    <col min="2" max="2" width="33.85546875" bestFit="1" customWidth="1"/>
    <col min="3" max="3" width="27.28515625" bestFit="1" customWidth="1"/>
    <col min="4" max="4" width="24.7109375" bestFit="1" customWidth="1"/>
  </cols>
  <sheetData>
    <row r="3" spans="1:14" ht="59.25" customHeight="1" x14ac:dyDescent="0.25">
      <c r="A3" s="9" t="s">
        <v>0</v>
      </c>
      <c r="B3" s="10" t="s">
        <v>1</v>
      </c>
      <c r="C3" s="10" t="s">
        <v>2</v>
      </c>
      <c r="D3" s="11" t="s">
        <v>3</v>
      </c>
      <c r="E3" s="14"/>
      <c r="N3" s="14"/>
    </row>
    <row r="4" spans="1:14" x14ac:dyDescent="0.25">
      <c r="A4" s="6" t="s">
        <v>4</v>
      </c>
      <c r="B4" s="7">
        <v>8.0329268292682929</v>
      </c>
      <c r="C4" s="7">
        <v>0.15000000000000002</v>
      </c>
      <c r="D4" s="5">
        <v>8.1829268292682933</v>
      </c>
    </row>
    <row r="5" spans="1:14" x14ac:dyDescent="0.25">
      <c r="A5" s="6" t="s">
        <v>5</v>
      </c>
      <c r="B5" s="7">
        <v>16.25</v>
      </c>
      <c r="C5" s="7">
        <v>2.6</v>
      </c>
      <c r="D5" s="5">
        <v>18.850000000000001</v>
      </c>
    </row>
    <row r="6" spans="1:14" x14ac:dyDescent="0.25">
      <c r="A6" s="6" t="s">
        <v>6</v>
      </c>
      <c r="B6" s="7">
        <v>10.942682926829267</v>
      </c>
      <c r="C6" s="7">
        <v>2.9</v>
      </c>
      <c r="D6" s="5">
        <v>13.842682926829267</v>
      </c>
    </row>
    <row r="7" spans="1:14" x14ac:dyDescent="0.25">
      <c r="A7" s="6" t="s">
        <v>7</v>
      </c>
      <c r="B7" s="7">
        <v>9.5268292682926834</v>
      </c>
      <c r="C7" s="7">
        <v>0.90000000000000013</v>
      </c>
      <c r="D7" s="5">
        <v>10.426829268292684</v>
      </c>
    </row>
    <row r="8" spans="1:14" x14ac:dyDescent="0.25">
      <c r="A8" s="6" t="s">
        <v>8</v>
      </c>
      <c r="B8" s="7">
        <v>16.599999999999998</v>
      </c>
      <c r="C8" s="7">
        <v>1.5499999999999998</v>
      </c>
      <c r="D8" s="5">
        <v>18.149999999999999</v>
      </c>
    </row>
    <row r="9" spans="1:14" x14ac:dyDescent="0.25">
      <c r="A9" s="6" t="s">
        <v>9</v>
      </c>
      <c r="B9" s="7">
        <v>14.450000000000003</v>
      </c>
      <c r="C9" s="7">
        <v>0.1</v>
      </c>
      <c r="D9" s="5">
        <v>14.550000000000002</v>
      </c>
    </row>
    <row r="10" spans="1:14" x14ac:dyDescent="0.25">
      <c r="A10" s="6" t="s">
        <v>10</v>
      </c>
      <c r="B10" s="7">
        <v>16.760975609756098</v>
      </c>
      <c r="C10" s="7">
        <v>1.1000000000000001</v>
      </c>
      <c r="D10" s="5">
        <v>17.8609756097561</v>
      </c>
    </row>
    <row r="11" spans="1:14" x14ac:dyDescent="0.25">
      <c r="A11" s="6" t="s">
        <v>11</v>
      </c>
      <c r="B11" s="7">
        <v>16.097560975609756</v>
      </c>
      <c r="C11" s="7">
        <v>3.1</v>
      </c>
      <c r="D11" s="5">
        <v>19.197560975609758</v>
      </c>
    </row>
    <row r="12" spans="1:14" x14ac:dyDescent="0.25">
      <c r="A12" s="6" t="s">
        <v>12</v>
      </c>
      <c r="B12" s="7">
        <v>14.608536585365854</v>
      </c>
      <c r="C12" s="7">
        <v>3.6999999999999997</v>
      </c>
      <c r="D12" s="5">
        <v>18.308536585365854</v>
      </c>
    </row>
    <row r="13" spans="1:14" x14ac:dyDescent="0.25">
      <c r="A13" s="6" t="s">
        <v>13</v>
      </c>
      <c r="B13" s="7">
        <v>12.584146341463416</v>
      </c>
      <c r="C13" s="7">
        <v>3.8</v>
      </c>
      <c r="D13" s="5">
        <v>16.384146341463417</v>
      </c>
    </row>
    <row r="14" spans="1:14" x14ac:dyDescent="0.25">
      <c r="A14" s="6" t="s">
        <v>14</v>
      </c>
      <c r="B14" s="7">
        <v>17.149999999999999</v>
      </c>
      <c r="C14" s="7">
        <v>5.6000000000000005</v>
      </c>
      <c r="D14" s="5">
        <v>22.75</v>
      </c>
    </row>
    <row r="15" spans="1:14" x14ac:dyDescent="0.25">
      <c r="A15" s="6" t="s">
        <v>15</v>
      </c>
      <c r="B15" s="7">
        <v>14.450000000000001</v>
      </c>
      <c r="C15" s="7">
        <v>1.5</v>
      </c>
      <c r="D15" s="5">
        <v>15.950000000000001</v>
      </c>
    </row>
    <row r="16" spans="1:14" x14ac:dyDescent="0.25">
      <c r="A16" s="6" t="s">
        <v>16</v>
      </c>
      <c r="B16" s="7">
        <v>12.470731707317071</v>
      </c>
      <c r="C16" s="7">
        <v>3.0500000000000007</v>
      </c>
      <c r="D16" s="5">
        <v>15.520731707317072</v>
      </c>
    </row>
    <row r="17" spans="1:4" x14ac:dyDescent="0.25">
      <c r="A17" s="6" t="s">
        <v>17</v>
      </c>
      <c r="B17" s="7">
        <v>13.95</v>
      </c>
      <c r="C17" s="7">
        <v>1.2000000000000002</v>
      </c>
      <c r="D17" s="5">
        <v>15.149999999999999</v>
      </c>
    </row>
    <row r="18" spans="1:4" x14ac:dyDescent="0.25">
      <c r="A18" s="6" t="s">
        <v>18</v>
      </c>
      <c r="B18" s="7">
        <v>12.873170731707321</v>
      </c>
      <c r="C18" s="7">
        <v>0.65</v>
      </c>
      <c r="D18" s="5">
        <v>13.523170731707321</v>
      </c>
    </row>
    <row r="19" spans="1:4" x14ac:dyDescent="0.25">
      <c r="A19" s="6" t="s">
        <v>19</v>
      </c>
      <c r="B19" s="7">
        <v>17.025609756097563</v>
      </c>
      <c r="C19" s="7">
        <v>2.1999999999999997</v>
      </c>
      <c r="D19" s="5">
        <v>19.225609756097562</v>
      </c>
    </row>
    <row r="20" spans="1:4" x14ac:dyDescent="0.25">
      <c r="A20" s="6" t="s">
        <v>20</v>
      </c>
      <c r="B20" s="7">
        <v>13</v>
      </c>
      <c r="C20" s="7">
        <v>3.75</v>
      </c>
      <c r="D20" s="5">
        <v>16.75</v>
      </c>
    </row>
    <row r="21" spans="1:4" x14ac:dyDescent="0.25">
      <c r="A21" s="6" t="s">
        <v>21</v>
      </c>
      <c r="B21" s="7">
        <v>9.840243902439024</v>
      </c>
      <c r="C21" s="7">
        <v>2.6999999999999997</v>
      </c>
      <c r="D21" s="5">
        <v>12.540243902439023</v>
      </c>
    </row>
    <row r="22" spans="1:4" x14ac:dyDescent="0.25">
      <c r="A22" s="6" t="s">
        <v>22</v>
      </c>
      <c r="B22" s="7">
        <v>10.542682926829269</v>
      </c>
      <c r="C22" s="7">
        <v>2.9</v>
      </c>
      <c r="D22" s="5">
        <v>13.442682926829269</v>
      </c>
    </row>
    <row r="23" spans="1:4" x14ac:dyDescent="0.25">
      <c r="A23" s="6" t="s">
        <v>23</v>
      </c>
      <c r="B23" s="7">
        <v>12.987804878048779</v>
      </c>
      <c r="C23" s="7">
        <v>2.3499999999999996</v>
      </c>
      <c r="D23" s="5">
        <v>15.337804878048779</v>
      </c>
    </row>
    <row r="24" spans="1:4" x14ac:dyDescent="0.25">
      <c r="A24" s="6" t="s">
        <v>24</v>
      </c>
      <c r="B24" s="7">
        <v>14.340243902439024</v>
      </c>
      <c r="C24" s="7">
        <v>2.5499999999999998</v>
      </c>
      <c r="D24" s="5">
        <v>16.890243902439025</v>
      </c>
    </row>
    <row r="25" spans="1:4" x14ac:dyDescent="0.25">
      <c r="A25" s="6" t="s">
        <v>25</v>
      </c>
      <c r="B25" s="7">
        <v>16.363414634146341</v>
      </c>
      <c r="C25" s="7">
        <v>3.1500000000000004</v>
      </c>
      <c r="D25" s="5">
        <v>19.513414634146343</v>
      </c>
    </row>
    <row r="26" spans="1:4" x14ac:dyDescent="0.25">
      <c r="A26" s="6" t="s">
        <v>26</v>
      </c>
      <c r="B26" s="7">
        <v>11.278048780487806</v>
      </c>
      <c r="C26" s="7">
        <v>2.0499999999999998</v>
      </c>
      <c r="D26" s="5">
        <v>13.328048780487805</v>
      </c>
    </row>
    <row r="27" spans="1:4" x14ac:dyDescent="0.25">
      <c r="A27" s="6" t="s">
        <v>27</v>
      </c>
      <c r="B27" s="7">
        <v>7.6585365853658542</v>
      </c>
      <c r="C27" s="7">
        <v>0.5</v>
      </c>
      <c r="D27" s="5">
        <v>8.1585365853658551</v>
      </c>
    </row>
    <row r="28" spans="1:4" x14ac:dyDescent="0.25">
      <c r="A28" s="6" t="s">
        <v>28</v>
      </c>
      <c r="B28" s="7">
        <v>16.28902439024391</v>
      </c>
      <c r="C28" s="7">
        <v>2.1</v>
      </c>
      <c r="D28" s="5">
        <v>18.389024390243911</v>
      </c>
    </row>
    <row r="29" spans="1:4" x14ac:dyDescent="0.25">
      <c r="A29" s="6" t="s">
        <v>29</v>
      </c>
      <c r="B29" s="7">
        <v>12.728048780487805</v>
      </c>
      <c r="C29" s="7">
        <v>1.7000000000000002</v>
      </c>
      <c r="D29" s="5">
        <v>14.428048780487806</v>
      </c>
    </row>
    <row r="30" spans="1:4" x14ac:dyDescent="0.25">
      <c r="A30" s="6" t="s">
        <v>30</v>
      </c>
      <c r="B30" s="7">
        <v>17.717073170731709</v>
      </c>
      <c r="C30" s="7">
        <v>2.4500000000000002</v>
      </c>
      <c r="D30" s="5">
        <v>20.167073170731708</v>
      </c>
    </row>
    <row r="31" spans="1:4" x14ac:dyDescent="0.25">
      <c r="A31" s="6" t="s">
        <v>31</v>
      </c>
      <c r="B31" s="7">
        <v>18.145121951219515</v>
      </c>
      <c r="C31" s="7">
        <v>1.7</v>
      </c>
      <c r="D31" s="5">
        <v>19.845121951219515</v>
      </c>
    </row>
    <row r="32" spans="1:4" x14ac:dyDescent="0.25">
      <c r="A32" s="6" t="s">
        <v>32</v>
      </c>
      <c r="B32" s="7">
        <v>384.66341463414631</v>
      </c>
      <c r="C32" s="7">
        <v>62.000000000000007</v>
      </c>
      <c r="D32" s="5">
        <v>446.66341463414642</v>
      </c>
    </row>
  </sheetData>
  <pageMargins left="0.7" right="0.7" top="0.78740157499999996" bottom="0.78740157499999996" header="0.3" footer="0.3"/>
  <pageSetup orientation="portrait"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2D2686-074D-4905-8F74-C31ECF427BCF}">
  <dimension ref="A1:B22"/>
  <sheetViews>
    <sheetView workbookViewId="0">
      <selection activeCell="G9" sqref="G9"/>
    </sheetView>
  </sheetViews>
  <sheetFormatPr baseColWidth="10" defaultColWidth="11.42578125" defaultRowHeight="15" x14ac:dyDescent="0.25"/>
  <cols>
    <col min="2" max="2" width="10.140625" bestFit="1" customWidth="1"/>
  </cols>
  <sheetData>
    <row r="1" spans="1:2" ht="30" x14ac:dyDescent="0.25">
      <c r="A1" s="13" t="s">
        <v>33</v>
      </c>
      <c r="B1" s="13" t="s">
        <v>34</v>
      </c>
    </row>
    <row r="2" spans="1:2" x14ac:dyDescent="0.25">
      <c r="A2" s="13" t="s">
        <v>4</v>
      </c>
      <c r="B2" s="12">
        <v>2</v>
      </c>
    </row>
    <row r="3" spans="1:2" x14ac:dyDescent="0.25">
      <c r="A3" s="13" t="s">
        <v>6</v>
      </c>
      <c r="B3" s="12">
        <v>2</v>
      </c>
    </row>
    <row r="4" spans="1:2" x14ac:dyDescent="0.25">
      <c r="A4" s="13" t="s">
        <v>8</v>
      </c>
      <c r="B4" s="12">
        <v>2</v>
      </c>
    </row>
    <row r="5" spans="1:2" x14ac:dyDescent="0.25">
      <c r="A5" s="13" t="s">
        <v>10</v>
      </c>
      <c r="B5" s="12">
        <v>3</v>
      </c>
    </row>
    <row r="6" spans="1:2" x14ac:dyDescent="0.25">
      <c r="A6" s="13" t="s">
        <v>11</v>
      </c>
      <c r="B6" s="12">
        <v>0</v>
      </c>
    </row>
    <row r="7" spans="1:2" x14ac:dyDescent="0.25">
      <c r="A7" s="13" t="s">
        <v>13</v>
      </c>
      <c r="B7" s="12">
        <v>2.5</v>
      </c>
    </row>
    <row r="8" spans="1:2" x14ac:dyDescent="0.25">
      <c r="A8" s="13" t="s">
        <v>16</v>
      </c>
      <c r="B8" s="12">
        <v>2</v>
      </c>
    </row>
    <row r="9" spans="1:2" x14ac:dyDescent="0.25">
      <c r="A9" s="13" t="s">
        <v>18</v>
      </c>
      <c r="B9" s="12">
        <v>1</v>
      </c>
    </row>
    <row r="10" spans="1:2" x14ac:dyDescent="0.25">
      <c r="A10" s="13" t="s">
        <v>19</v>
      </c>
      <c r="B10" s="12">
        <v>1</v>
      </c>
    </row>
    <row r="11" spans="1:2" x14ac:dyDescent="0.25">
      <c r="A11" s="13" t="s">
        <v>20</v>
      </c>
      <c r="B11" s="12">
        <v>2</v>
      </c>
    </row>
    <row r="12" spans="1:2" x14ac:dyDescent="0.25">
      <c r="A12" s="13" t="s">
        <v>22</v>
      </c>
      <c r="B12" s="12">
        <v>1</v>
      </c>
    </row>
    <row r="13" spans="1:2" x14ac:dyDescent="0.25">
      <c r="A13" s="13" t="s">
        <v>23</v>
      </c>
      <c r="B13" s="12">
        <v>1.5</v>
      </c>
    </row>
    <row r="14" spans="1:2" x14ac:dyDescent="0.25">
      <c r="A14" s="13" t="s">
        <v>24</v>
      </c>
      <c r="B14" s="12">
        <v>1</v>
      </c>
    </row>
    <row r="15" spans="1:2" x14ac:dyDescent="0.25">
      <c r="A15" s="13" t="s">
        <v>25</v>
      </c>
      <c r="B15" s="12">
        <v>1.5</v>
      </c>
    </row>
    <row r="16" spans="1:2" x14ac:dyDescent="0.25">
      <c r="A16" s="13" t="s">
        <v>26</v>
      </c>
      <c r="B16" s="12">
        <v>2</v>
      </c>
    </row>
    <row r="17" spans="1:2" x14ac:dyDescent="0.25">
      <c r="A17" s="13" t="s">
        <v>28</v>
      </c>
      <c r="B17" s="12">
        <v>1.5</v>
      </c>
    </row>
    <row r="18" spans="1:2" x14ac:dyDescent="0.25">
      <c r="A18" s="13" t="s">
        <v>29</v>
      </c>
      <c r="B18" s="12">
        <v>1.5</v>
      </c>
    </row>
    <row r="19" spans="1:2" x14ac:dyDescent="0.25">
      <c r="A19" s="13" t="s">
        <v>31</v>
      </c>
      <c r="B19" s="12">
        <v>1</v>
      </c>
    </row>
    <row r="20" spans="1:2" x14ac:dyDescent="0.25">
      <c r="A20" s="13"/>
      <c r="B20" s="12"/>
    </row>
    <row r="22" spans="1:2" x14ac:dyDescent="0.25">
      <c r="B22" s="12">
        <v>28.5</v>
      </c>
    </row>
  </sheetData>
  <pageMargins left="0.7" right="0.7" top="0.78740157499999996" bottom="0.78740157499999996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69D9DD-BEAA-403F-A1F7-B28838F177E5}">
  <dimension ref="A1:V303"/>
  <sheetViews>
    <sheetView tabSelected="1" topLeftCell="C1" zoomScale="115" zoomScaleNormal="115" workbookViewId="0">
      <selection activeCell="F2" sqref="F2"/>
    </sheetView>
  </sheetViews>
  <sheetFormatPr baseColWidth="10" defaultColWidth="11.42578125" defaultRowHeight="15" x14ac:dyDescent="0.25"/>
  <cols>
    <col min="1" max="1" width="14.7109375" hidden="1" customWidth="1"/>
    <col min="2" max="2" width="13.28515625" style="1" hidden="1" customWidth="1"/>
    <col min="3" max="3" width="23.5703125" style="1" customWidth="1"/>
    <col min="4" max="4" width="15.85546875" hidden="1" customWidth="1"/>
    <col min="5" max="5" width="9.28515625" customWidth="1"/>
    <col min="6" max="6" width="7.42578125" bestFit="1" customWidth="1"/>
    <col min="7" max="7" width="6.140625" hidden="1" customWidth="1"/>
    <col min="8" max="9" width="21.42578125" style="7" hidden="1" customWidth="1"/>
    <col min="10" max="10" width="19.5703125" style="7" hidden="1" customWidth="1"/>
    <col min="11" max="12" width="20.7109375" style="7" hidden="1" customWidth="1"/>
    <col min="13" max="13" width="18.85546875" style="7" hidden="1" customWidth="1"/>
    <col min="14" max="14" width="21.42578125" style="7" hidden="1" customWidth="1"/>
    <col min="15" max="15" width="24.140625" style="5" hidden="1" customWidth="1"/>
    <col min="16" max="16" width="15.5703125" style="7" hidden="1" customWidth="1"/>
    <col min="17" max="17" width="20.7109375" style="7" hidden="1" customWidth="1"/>
    <col min="18" max="18" width="18.85546875" style="7" hidden="1" customWidth="1"/>
    <col min="19" max="19" width="14.140625" hidden="1" customWidth="1"/>
    <col min="20" max="20" width="14.7109375" style="7" hidden="1" customWidth="1"/>
    <col min="21" max="21" width="14.7109375" hidden="1" customWidth="1"/>
  </cols>
  <sheetData>
    <row r="1" spans="1:21" ht="45" x14ac:dyDescent="0.25">
      <c r="A1" t="s">
        <v>35</v>
      </c>
      <c r="B1" s="1" t="s">
        <v>36</v>
      </c>
      <c r="C1" s="1" t="s">
        <v>95</v>
      </c>
      <c r="D1" t="s">
        <v>37</v>
      </c>
      <c r="E1" t="s">
        <v>38</v>
      </c>
      <c r="F1" t="s">
        <v>39</v>
      </c>
      <c r="G1" t="s">
        <v>40</v>
      </c>
      <c r="H1" s="2" t="s">
        <v>41</v>
      </c>
      <c r="I1" s="3" t="s">
        <v>42</v>
      </c>
      <c r="J1" s="2" t="s">
        <v>43</v>
      </c>
      <c r="K1" s="2" t="s">
        <v>44</v>
      </c>
      <c r="L1" s="3" t="s">
        <v>45</v>
      </c>
      <c r="M1" s="2" t="s">
        <v>46</v>
      </c>
      <c r="N1" s="2" t="s">
        <v>47</v>
      </c>
      <c r="O1" s="3" t="s">
        <v>48</v>
      </c>
      <c r="P1" s="2" t="s">
        <v>49</v>
      </c>
      <c r="Q1" s="2" t="s">
        <v>50</v>
      </c>
      <c r="R1" s="2" t="s">
        <v>51</v>
      </c>
      <c r="S1" s="3" t="s">
        <v>52</v>
      </c>
      <c r="T1" s="8" t="s">
        <v>53</v>
      </c>
      <c r="U1" s="8" t="s">
        <v>54</v>
      </c>
    </row>
    <row r="2" spans="1:21" x14ac:dyDescent="0.25">
      <c r="A2" t="s">
        <v>55</v>
      </c>
      <c r="B2" s="1" t="s">
        <v>9</v>
      </c>
      <c r="C2" s="1" t="s">
        <v>94</v>
      </c>
      <c r="D2" t="s">
        <v>56</v>
      </c>
      <c r="E2">
        <v>70173</v>
      </c>
      <c r="F2" t="s">
        <v>57</v>
      </c>
      <c r="G2">
        <v>7000</v>
      </c>
      <c r="H2" s="4">
        <v>19</v>
      </c>
      <c r="I2" s="5">
        <f t="shared" ref="I2:I65" si="0">H2/21</f>
        <v>0.90476190476190477</v>
      </c>
      <c r="J2" s="4">
        <v>19</v>
      </c>
      <c r="K2" s="4">
        <v>0</v>
      </c>
      <c r="L2" s="5">
        <f t="shared" ref="L2:L65" si="1">K2/21</f>
        <v>0</v>
      </c>
      <c r="M2" s="4">
        <v>0</v>
      </c>
      <c r="N2" s="4">
        <v>22</v>
      </c>
      <c r="O2" s="5">
        <f t="shared" ref="O2:O65" si="2">N2/20</f>
        <v>1.1000000000000001</v>
      </c>
      <c r="P2" s="4">
        <v>23</v>
      </c>
      <c r="Q2" s="4">
        <v>0</v>
      </c>
      <c r="R2" s="4">
        <v>0</v>
      </c>
      <c r="S2" s="5">
        <f t="shared" ref="S2:S65" si="3">Q2/20</f>
        <v>0</v>
      </c>
      <c r="T2" s="4">
        <v>0.8</v>
      </c>
      <c r="U2" s="4">
        <f>T2+O2</f>
        <v>1.9000000000000001</v>
      </c>
    </row>
    <row r="3" spans="1:21" x14ac:dyDescent="0.25">
      <c r="A3" t="s">
        <v>55</v>
      </c>
      <c r="B3" s="1" t="s">
        <v>9</v>
      </c>
      <c r="C3" s="1" t="s">
        <v>94</v>
      </c>
      <c r="D3" t="s">
        <v>56</v>
      </c>
      <c r="E3">
        <v>70174</v>
      </c>
      <c r="F3" t="s">
        <v>57</v>
      </c>
      <c r="G3">
        <v>7000</v>
      </c>
      <c r="H3" s="4">
        <v>9</v>
      </c>
      <c r="I3" s="5">
        <f t="shared" si="0"/>
        <v>0.42857142857142855</v>
      </c>
      <c r="J3" s="4">
        <v>11</v>
      </c>
      <c r="K3" s="4">
        <v>0</v>
      </c>
      <c r="L3" s="5">
        <f t="shared" si="1"/>
        <v>0</v>
      </c>
      <c r="M3" s="4">
        <v>0</v>
      </c>
      <c r="N3" s="4">
        <v>16</v>
      </c>
      <c r="O3" s="5">
        <f t="shared" si="2"/>
        <v>0.8</v>
      </c>
      <c r="P3" s="4">
        <v>22</v>
      </c>
      <c r="Q3" s="4">
        <v>0</v>
      </c>
      <c r="R3" s="4">
        <v>0</v>
      </c>
      <c r="S3" s="5">
        <f t="shared" si="3"/>
        <v>0</v>
      </c>
      <c r="T3" s="4">
        <v>0.6</v>
      </c>
      <c r="U3" s="4">
        <f t="shared" ref="U3:U66" si="4">T3+O3</f>
        <v>1.4</v>
      </c>
    </row>
    <row r="4" spans="1:21" x14ac:dyDescent="0.25">
      <c r="A4" t="s">
        <v>55</v>
      </c>
      <c r="B4" s="1" t="s">
        <v>9</v>
      </c>
      <c r="C4" s="1" t="s">
        <v>94</v>
      </c>
      <c r="D4" t="s">
        <v>56</v>
      </c>
      <c r="E4">
        <v>70176</v>
      </c>
      <c r="F4" t="s">
        <v>57</v>
      </c>
      <c r="G4">
        <v>7000</v>
      </c>
      <c r="H4" s="4">
        <v>9</v>
      </c>
      <c r="I4" s="5">
        <f t="shared" si="0"/>
        <v>0.42857142857142855</v>
      </c>
      <c r="J4" s="4">
        <v>9</v>
      </c>
      <c r="K4" s="4">
        <v>0</v>
      </c>
      <c r="L4" s="5">
        <f t="shared" si="1"/>
        <v>0</v>
      </c>
      <c r="M4" s="4">
        <v>0</v>
      </c>
      <c r="N4" s="4">
        <v>7</v>
      </c>
      <c r="O4" s="5">
        <f t="shared" si="2"/>
        <v>0.35</v>
      </c>
      <c r="P4" s="4">
        <v>7</v>
      </c>
      <c r="Q4" s="4">
        <v>0</v>
      </c>
      <c r="R4" s="4">
        <v>0</v>
      </c>
      <c r="S4" s="5">
        <f t="shared" si="3"/>
        <v>0</v>
      </c>
      <c r="T4" s="4">
        <v>0.2</v>
      </c>
      <c r="U4" s="4">
        <f t="shared" si="4"/>
        <v>0.55000000000000004</v>
      </c>
    </row>
    <row r="5" spans="1:21" x14ac:dyDescent="0.25">
      <c r="A5" t="s">
        <v>55</v>
      </c>
      <c r="B5" s="1" t="s">
        <v>9</v>
      </c>
      <c r="C5" s="1" t="s">
        <v>94</v>
      </c>
      <c r="D5" t="s">
        <v>56</v>
      </c>
      <c r="E5">
        <v>70178</v>
      </c>
      <c r="F5" t="s">
        <v>57</v>
      </c>
      <c r="G5">
        <v>7000</v>
      </c>
      <c r="H5" s="4">
        <v>9</v>
      </c>
      <c r="I5" s="5">
        <f t="shared" si="0"/>
        <v>0.42857142857142855</v>
      </c>
      <c r="J5" s="4">
        <v>11</v>
      </c>
      <c r="K5" s="4">
        <v>0</v>
      </c>
      <c r="L5" s="5">
        <f t="shared" si="1"/>
        <v>0</v>
      </c>
      <c r="M5" s="4">
        <v>0</v>
      </c>
      <c r="N5" s="4">
        <v>11</v>
      </c>
      <c r="O5" s="5">
        <f t="shared" si="2"/>
        <v>0.55000000000000004</v>
      </c>
      <c r="P5" s="4">
        <v>12</v>
      </c>
      <c r="Q5" s="4">
        <v>0</v>
      </c>
      <c r="R5" s="4">
        <v>0</v>
      </c>
      <c r="S5" s="5">
        <f t="shared" si="3"/>
        <v>0</v>
      </c>
      <c r="T5" s="4">
        <v>0.4</v>
      </c>
      <c r="U5" s="4">
        <f t="shared" si="4"/>
        <v>0.95000000000000007</v>
      </c>
    </row>
    <row r="6" spans="1:21" x14ac:dyDescent="0.25">
      <c r="A6" t="s">
        <v>55</v>
      </c>
      <c r="B6" s="1" t="s">
        <v>9</v>
      </c>
      <c r="C6" s="1" t="s">
        <v>94</v>
      </c>
      <c r="D6" t="s">
        <v>56</v>
      </c>
      <c r="E6">
        <v>70180</v>
      </c>
      <c r="F6" t="s">
        <v>57</v>
      </c>
      <c r="G6">
        <v>7000</v>
      </c>
      <c r="H6" s="4">
        <v>1</v>
      </c>
      <c r="I6" s="5">
        <f t="shared" si="0"/>
        <v>4.7619047619047616E-2</v>
      </c>
      <c r="J6" s="4">
        <v>1</v>
      </c>
      <c r="K6" s="4">
        <v>0</v>
      </c>
      <c r="L6" s="5">
        <f t="shared" si="1"/>
        <v>0</v>
      </c>
      <c r="M6" s="4">
        <v>0</v>
      </c>
      <c r="N6" s="4">
        <v>4</v>
      </c>
      <c r="O6" s="5">
        <f t="shared" si="2"/>
        <v>0.2</v>
      </c>
      <c r="P6" s="4">
        <v>4</v>
      </c>
      <c r="Q6" s="4">
        <v>0</v>
      </c>
      <c r="R6" s="4">
        <v>0</v>
      </c>
      <c r="S6" s="5">
        <f t="shared" si="3"/>
        <v>0</v>
      </c>
      <c r="T6" s="4">
        <v>0.1</v>
      </c>
      <c r="U6" s="4">
        <f t="shared" si="4"/>
        <v>0.30000000000000004</v>
      </c>
    </row>
    <row r="7" spans="1:21" x14ac:dyDescent="0.25">
      <c r="A7" t="s">
        <v>55</v>
      </c>
      <c r="B7" s="1" t="s">
        <v>9</v>
      </c>
      <c r="C7" s="1" t="s">
        <v>94</v>
      </c>
      <c r="D7" t="s">
        <v>56</v>
      </c>
      <c r="E7">
        <v>70182</v>
      </c>
      <c r="F7" t="s">
        <v>57</v>
      </c>
      <c r="G7">
        <v>7000</v>
      </c>
      <c r="H7" s="4">
        <v>10</v>
      </c>
      <c r="I7" s="5">
        <f t="shared" si="0"/>
        <v>0.47619047619047616</v>
      </c>
      <c r="J7" s="4">
        <v>10</v>
      </c>
      <c r="K7" s="4">
        <v>0</v>
      </c>
      <c r="L7" s="5">
        <f t="shared" si="1"/>
        <v>0</v>
      </c>
      <c r="M7" s="4">
        <v>0</v>
      </c>
      <c r="N7" s="4">
        <v>11</v>
      </c>
      <c r="O7" s="5">
        <f t="shared" si="2"/>
        <v>0.55000000000000004</v>
      </c>
      <c r="P7" s="4">
        <v>11</v>
      </c>
      <c r="Q7" s="4">
        <v>1</v>
      </c>
      <c r="R7" s="4">
        <v>1</v>
      </c>
      <c r="S7" s="5">
        <f t="shared" si="3"/>
        <v>0.05</v>
      </c>
      <c r="T7" s="4">
        <v>0</v>
      </c>
      <c r="U7" s="4">
        <f t="shared" si="4"/>
        <v>0.55000000000000004</v>
      </c>
    </row>
    <row r="8" spans="1:21" x14ac:dyDescent="0.25">
      <c r="A8" t="s">
        <v>55</v>
      </c>
      <c r="B8" s="1" t="s">
        <v>9</v>
      </c>
      <c r="C8" s="1" t="s">
        <v>94</v>
      </c>
      <c r="D8" t="s">
        <v>56</v>
      </c>
      <c r="E8">
        <v>70184</v>
      </c>
      <c r="F8" t="s">
        <v>57</v>
      </c>
      <c r="G8">
        <v>7000</v>
      </c>
      <c r="H8" s="4">
        <v>1</v>
      </c>
      <c r="I8" s="5">
        <f t="shared" si="0"/>
        <v>4.7619047619047616E-2</v>
      </c>
      <c r="J8" s="4">
        <v>1</v>
      </c>
      <c r="K8" s="4">
        <v>0</v>
      </c>
      <c r="L8" s="5">
        <f t="shared" si="1"/>
        <v>0</v>
      </c>
      <c r="M8" s="4">
        <v>0</v>
      </c>
      <c r="N8" s="4">
        <v>1</v>
      </c>
      <c r="O8" s="5">
        <f t="shared" si="2"/>
        <v>0.05</v>
      </c>
      <c r="P8" s="4">
        <v>1</v>
      </c>
      <c r="Q8" s="4">
        <v>0</v>
      </c>
      <c r="R8" s="4">
        <v>0</v>
      </c>
      <c r="S8" s="5">
        <f t="shared" si="3"/>
        <v>0</v>
      </c>
      <c r="T8" s="4">
        <v>0.1</v>
      </c>
      <c r="U8" s="4">
        <f t="shared" si="4"/>
        <v>0.15000000000000002</v>
      </c>
    </row>
    <row r="9" spans="1:21" x14ac:dyDescent="0.25">
      <c r="A9" t="s">
        <v>55</v>
      </c>
      <c r="B9" s="1" t="s">
        <v>9</v>
      </c>
      <c r="C9" s="1" t="s">
        <v>94</v>
      </c>
      <c r="D9" t="s">
        <v>56</v>
      </c>
      <c r="E9">
        <v>70186</v>
      </c>
      <c r="F9" t="s">
        <v>57</v>
      </c>
      <c r="G9">
        <v>7000</v>
      </c>
      <c r="H9" s="4">
        <v>3</v>
      </c>
      <c r="I9" s="5">
        <f t="shared" si="0"/>
        <v>0.14285714285714285</v>
      </c>
      <c r="J9" s="4">
        <v>3</v>
      </c>
      <c r="K9" s="4">
        <v>0</v>
      </c>
      <c r="L9" s="5">
        <f t="shared" si="1"/>
        <v>0</v>
      </c>
      <c r="M9" s="4">
        <v>0</v>
      </c>
      <c r="N9" s="4">
        <v>2</v>
      </c>
      <c r="O9" s="5">
        <f t="shared" si="2"/>
        <v>0.1</v>
      </c>
      <c r="P9" s="4">
        <v>2</v>
      </c>
      <c r="Q9" s="4">
        <v>0</v>
      </c>
      <c r="R9" s="4">
        <v>0</v>
      </c>
      <c r="S9" s="5">
        <f t="shared" si="3"/>
        <v>0</v>
      </c>
      <c r="T9" s="4">
        <v>0.3</v>
      </c>
      <c r="U9" s="4">
        <f t="shared" si="4"/>
        <v>0.4</v>
      </c>
    </row>
    <row r="10" spans="1:21" x14ac:dyDescent="0.25">
      <c r="A10" t="s">
        <v>55</v>
      </c>
      <c r="B10" s="1" t="s">
        <v>9</v>
      </c>
      <c r="C10" s="1" t="s">
        <v>94</v>
      </c>
      <c r="D10" t="s">
        <v>56</v>
      </c>
      <c r="E10">
        <v>70188</v>
      </c>
      <c r="F10" t="s">
        <v>57</v>
      </c>
      <c r="G10">
        <v>7000</v>
      </c>
      <c r="H10" s="4">
        <v>48</v>
      </c>
      <c r="I10" s="5">
        <f t="shared" si="0"/>
        <v>2.2857142857142856</v>
      </c>
      <c r="J10" s="4">
        <v>51</v>
      </c>
      <c r="K10" s="4">
        <v>0</v>
      </c>
      <c r="L10" s="5">
        <f t="shared" si="1"/>
        <v>0</v>
      </c>
      <c r="M10" s="4">
        <v>0</v>
      </c>
      <c r="N10" s="4">
        <v>27</v>
      </c>
      <c r="O10" s="5">
        <f t="shared" si="2"/>
        <v>1.35</v>
      </c>
      <c r="P10" s="4">
        <v>28</v>
      </c>
      <c r="Q10" s="4">
        <v>1</v>
      </c>
      <c r="R10" s="4">
        <v>1</v>
      </c>
      <c r="S10" s="5">
        <f t="shared" si="3"/>
        <v>0.05</v>
      </c>
      <c r="T10" s="4">
        <v>0.8</v>
      </c>
      <c r="U10" s="4">
        <f t="shared" si="4"/>
        <v>2.1500000000000004</v>
      </c>
    </row>
    <row r="11" spans="1:21" x14ac:dyDescent="0.25">
      <c r="A11" t="s">
        <v>55</v>
      </c>
      <c r="B11" s="1" t="s">
        <v>9</v>
      </c>
      <c r="C11" s="1" t="s">
        <v>94</v>
      </c>
      <c r="D11" t="s">
        <v>56</v>
      </c>
      <c r="E11">
        <v>70190</v>
      </c>
      <c r="F11" t="s">
        <v>57</v>
      </c>
      <c r="G11">
        <v>7000</v>
      </c>
      <c r="H11" s="4">
        <v>6</v>
      </c>
      <c r="I11" s="5">
        <f t="shared" si="0"/>
        <v>0.2857142857142857</v>
      </c>
      <c r="J11" s="4">
        <v>6</v>
      </c>
      <c r="K11" s="4">
        <v>0</v>
      </c>
      <c r="L11" s="5">
        <f t="shared" si="1"/>
        <v>0</v>
      </c>
      <c r="M11" s="4">
        <v>0</v>
      </c>
      <c r="N11" s="4">
        <v>8</v>
      </c>
      <c r="O11" s="5">
        <f t="shared" si="2"/>
        <v>0.4</v>
      </c>
      <c r="P11" s="4">
        <v>8</v>
      </c>
      <c r="Q11" s="4">
        <v>0</v>
      </c>
      <c r="R11" s="4">
        <v>0</v>
      </c>
      <c r="S11" s="5">
        <f t="shared" si="3"/>
        <v>0</v>
      </c>
      <c r="T11" s="4">
        <v>0.1</v>
      </c>
      <c r="U11" s="4">
        <f t="shared" si="4"/>
        <v>0.5</v>
      </c>
    </row>
    <row r="12" spans="1:21" x14ac:dyDescent="0.25">
      <c r="A12" t="s">
        <v>55</v>
      </c>
      <c r="B12" s="1" t="s">
        <v>9</v>
      </c>
      <c r="C12" s="1" t="s">
        <v>94</v>
      </c>
      <c r="D12" t="s">
        <v>56</v>
      </c>
      <c r="E12">
        <v>70191</v>
      </c>
      <c r="F12" t="s">
        <v>57</v>
      </c>
      <c r="G12">
        <v>7000</v>
      </c>
      <c r="H12" s="4">
        <v>3</v>
      </c>
      <c r="I12" s="5">
        <f t="shared" si="0"/>
        <v>0.14285714285714285</v>
      </c>
      <c r="J12" s="4">
        <v>3</v>
      </c>
      <c r="K12" s="4">
        <v>0</v>
      </c>
      <c r="L12" s="5">
        <f t="shared" si="1"/>
        <v>0</v>
      </c>
      <c r="M12" s="4">
        <v>0</v>
      </c>
      <c r="N12" s="4">
        <v>4</v>
      </c>
      <c r="O12" s="5">
        <f t="shared" si="2"/>
        <v>0.2</v>
      </c>
      <c r="P12" s="4">
        <v>4</v>
      </c>
      <c r="Q12" s="4">
        <v>0</v>
      </c>
      <c r="R12" s="4">
        <v>0</v>
      </c>
      <c r="S12" s="5">
        <f t="shared" si="3"/>
        <v>0</v>
      </c>
      <c r="T12" s="4">
        <v>0.2</v>
      </c>
      <c r="U12" s="4">
        <f t="shared" si="4"/>
        <v>0.4</v>
      </c>
    </row>
    <row r="13" spans="1:21" x14ac:dyDescent="0.25">
      <c r="A13" t="s">
        <v>55</v>
      </c>
      <c r="B13" s="1" t="s">
        <v>9</v>
      </c>
      <c r="C13" s="1" t="s">
        <v>94</v>
      </c>
      <c r="D13" t="s">
        <v>56</v>
      </c>
      <c r="E13">
        <v>70192</v>
      </c>
      <c r="F13" t="s">
        <v>57</v>
      </c>
      <c r="G13">
        <v>7000</v>
      </c>
      <c r="H13" s="4">
        <v>4</v>
      </c>
      <c r="I13" s="5">
        <f t="shared" si="0"/>
        <v>0.19047619047619047</v>
      </c>
      <c r="J13" s="4">
        <v>4</v>
      </c>
      <c r="K13" s="4">
        <v>0</v>
      </c>
      <c r="L13" s="5">
        <f t="shared" si="1"/>
        <v>0</v>
      </c>
      <c r="M13" s="4">
        <v>0</v>
      </c>
      <c r="N13" s="4">
        <v>4</v>
      </c>
      <c r="O13" s="5">
        <f t="shared" si="2"/>
        <v>0.2</v>
      </c>
      <c r="P13" s="4">
        <v>4</v>
      </c>
      <c r="Q13" s="4">
        <v>0</v>
      </c>
      <c r="R13" s="4">
        <v>0</v>
      </c>
      <c r="S13" s="5">
        <f t="shared" si="3"/>
        <v>0</v>
      </c>
      <c r="T13" s="4">
        <v>0</v>
      </c>
      <c r="U13" s="4">
        <f t="shared" si="4"/>
        <v>0.2</v>
      </c>
    </row>
    <row r="14" spans="1:21" x14ac:dyDescent="0.25">
      <c r="A14" t="s">
        <v>55</v>
      </c>
      <c r="B14" s="1" t="s">
        <v>9</v>
      </c>
      <c r="C14" s="1" t="s">
        <v>94</v>
      </c>
      <c r="D14" t="s">
        <v>56</v>
      </c>
      <c r="E14">
        <v>70193</v>
      </c>
      <c r="F14" t="s">
        <v>57</v>
      </c>
      <c r="G14">
        <v>7000</v>
      </c>
      <c r="H14" s="4">
        <v>3</v>
      </c>
      <c r="I14" s="5">
        <f t="shared" si="0"/>
        <v>0.14285714285714285</v>
      </c>
      <c r="J14" s="4">
        <v>3</v>
      </c>
      <c r="K14" s="4">
        <v>0</v>
      </c>
      <c r="L14" s="5">
        <f t="shared" si="1"/>
        <v>0</v>
      </c>
      <c r="M14" s="4">
        <v>0</v>
      </c>
      <c r="N14" s="4">
        <v>4</v>
      </c>
      <c r="O14" s="5">
        <f t="shared" si="2"/>
        <v>0.2</v>
      </c>
      <c r="P14" s="4">
        <v>4</v>
      </c>
      <c r="Q14" s="4">
        <v>0</v>
      </c>
      <c r="R14" s="4">
        <v>0</v>
      </c>
      <c r="S14" s="5">
        <f t="shared" si="3"/>
        <v>0</v>
      </c>
      <c r="T14" s="4">
        <v>0</v>
      </c>
      <c r="U14" s="4">
        <f t="shared" si="4"/>
        <v>0.2</v>
      </c>
    </row>
    <row r="15" spans="1:21" x14ac:dyDescent="0.25">
      <c r="A15" t="s">
        <v>55</v>
      </c>
      <c r="B15" s="1" t="s">
        <v>20</v>
      </c>
      <c r="C15" s="1" t="s">
        <v>94</v>
      </c>
      <c r="D15" t="s">
        <v>56</v>
      </c>
      <c r="E15">
        <v>70195</v>
      </c>
      <c r="F15" t="s">
        <v>57</v>
      </c>
      <c r="G15">
        <v>7000</v>
      </c>
      <c r="H15" s="4">
        <v>1</v>
      </c>
      <c r="I15" s="5">
        <f t="shared" si="0"/>
        <v>4.7619047619047616E-2</v>
      </c>
      <c r="J15" s="4">
        <v>1</v>
      </c>
      <c r="K15" s="4">
        <v>0</v>
      </c>
      <c r="L15" s="5">
        <f t="shared" si="1"/>
        <v>0</v>
      </c>
      <c r="M15" s="4">
        <v>0</v>
      </c>
      <c r="N15" s="4">
        <v>0</v>
      </c>
      <c r="O15" s="5">
        <f t="shared" si="2"/>
        <v>0</v>
      </c>
      <c r="P15" s="4">
        <v>0</v>
      </c>
      <c r="Q15" s="4">
        <v>0</v>
      </c>
      <c r="R15" s="4">
        <v>0</v>
      </c>
      <c r="S15" s="5">
        <f t="shared" si="3"/>
        <v>0</v>
      </c>
      <c r="T15" s="4">
        <v>0.7</v>
      </c>
      <c r="U15" s="4">
        <f t="shared" si="4"/>
        <v>0.7</v>
      </c>
    </row>
    <row r="16" spans="1:21" x14ac:dyDescent="0.25">
      <c r="A16" t="s">
        <v>55</v>
      </c>
      <c r="B16" s="1" t="s">
        <v>20</v>
      </c>
      <c r="C16" s="1" t="s">
        <v>94</v>
      </c>
      <c r="D16" t="s">
        <v>56</v>
      </c>
      <c r="E16">
        <v>70197</v>
      </c>
      <c r="F16" t="s">
        <v>57</v>
      </c>
      <c r="G16">
        <v>7000</v>
      </c>
      <c r="H16" s="4">
        <v>13</v>
      </c>
      <c r="I16" s="5">
        <f t="shared" si="0"/>
        <v>0.61904761904761907</v>
      </c>
      <c r="J16" s="4">
        <v>13</v>
      </c>
      <c r="K16" s="4">
        <v>0</v>
      </c>
      <c r="L16" s="5">
        <f t="shared" si="1"/>
        <v>0</v>
      </c>
      <c r="M16" s="4">
        <v>0</v>
      </c>
      <c r="N16" s="4">
        <v>12</v>
      </c>
      <c r="O16" s="5">
        <f t="shared" si="2"/>
        <v>0.6</v>
      </c>
      <c r="P16" s="4">
        <v>12</v>
      </c>
      <c r="Q16" s="4">
        <v>1</v>
      </c>
      <c r="R16" s="4">
        <v>1</v>
      </c>
      <c r="S16" s="5">
        <f t="shared" si="3"/>
        <v>0.05</v>
      </c>
      <c r="T16" s="4">
        <v>0.3</v>
      </c>
      <c r="U16" s="4">
        <f t="shared" si="4"/>
        <v>0.89999999999999991</v>
      </c>
    </row>
    <row r="17" spans="1:21" x14ac:dyDescent="0.25">
      <c r="A17" t="s">
        <v>55</v>
      </c>
      <c r="B17" s="1" t="s">
        <v>9</v>
      </c>
      <c r="C17" s="1" t="s">
        <v>94</v>
      </c>
      <c r="D17" t="s">
        <v>56</v>
      </c>
      <c r="E17">
        <v>70199</v>
      </c>
      <c r="F17" t="s">
        <v>57</v>
      </c>
      <c r="G17">
        <v>7000</v>
      </c>
      <c r="H17" s="4">
        <v>1</v>
      </c>
      <c r="I17" s="5">
        <f t="shared" si="0"/>
        <v>4.7619047619047616E-2</v>
      </c>
      <c r="J17" s="4">
        <v>1</v>
      </c>
      <c r="K17" s="4">
        <v>0</v>
      </c>
      <c r="L17" s="5">
        <f t="shared" si="1"/>
        <v>0</v>
      </c>
      <c r="M17" s="4">
        <v>0</v>
      </c>
      <c r="N17" s="4">
        <v>4</v>
      </c>
      <c r="O17" s="5">
        <f t="shared" si="2"/>
        <v>0.2</v>
      </c>
      <c r="P17" s="4">
        <v>5</v>
      </c>
      <c r="Q17" s="4">
        <v>0</v>
      </c>
      <c r="R17" s="4">
        <v>0</v>
      </c>
      <c r="S17" s="5">
        <f t="shared" si="3"/>
        <v>0</v>
      </c>
      <c r="T17" s="4">
        <v>0.6</v>
      </c>
      <c r="U17" s="4">
        <f t="shared" si="4"/>
        <v>0.8</v>
      </c>
    </row>
    <row r="18" spans="1:21" x14ac:dyDescent="0.25">
      <c r="A18" t="s">
        <v>55</v>
      </c>
      <c r="B18" s="1" t="s">
        <v>9</v>
      </c>
      <c r="C18" s="1" t="s">
        <v>94</v>
      </c>
      <c r="D18" t="s">
        <v>56</v>
      </c>
      <c r="E18">
        <v>70327</v>
      </c>
      <c r="F18" t="s">
        <v>57</v>
      </c>
      <c r="G18">
        <v>7000</v>
      </c>
      <c r="H18" s="4">
        <v>26</v>
      </c>
      <c r="I18" s="5">
        <f t="shared" si="0"/>
        <v>1.2380952380952381</v>
      </c>
      <c r="J18" s="4">
        <v>26</v>
      </c>
      <c r="K18" s="4">
        <v>1</v>
      </c>
      <c r="L18" s="5">
        <f t="shared" si="1"/>
        <v>4.7619047619047616E-2</v>
      </c>
      <c r="M18" s="4">
        <v>1</v>
      </c>
      <c r="N18" s="4">
        <v>35</v>
      </c>
      <c r="O18" s="5">
        <f t="shared" si="2"/>
        <v>1.75</v>
      </c>
      <c r="P18" s="4">
        <v>40</v>
      </c>
      <c r="Q18" s="4">
        <v>0</v>
      </c>
      <c r="R18" s="4">
        <v>0</v>
      </c>
      <c r="S18" s="5">
        <f t="shared" si="3"/>
        <v>0</v>
      </c>
      <c r="T18" s="4">
        <v>1.2</v>
      </c>
      <c r="U18" s="4">
        <f t="shared" si="4"/>
        <v>2.95</v>
      </c>
    </row>
    <row r="19" spans="1:21" x14ac:dyDescent="0.25">
      <c r="A19" t="s">
        <v>55</v>
      </c>
      <c r="B19" s="1" t="s">
        <v>9</v>
      </c>
      <c r="C19" s="1" t="s">
        <v>94</v>
      </c>
      <c r="D19" t="s">
        <v>56</v>
      </c>
      <c r="E19">
        <v>70329</v>
      </c>
      <c r="F19" t="s">
        <v>57</v>
      </c>
      <c r="G19">
        <v>7000</v>
      </c>
      <c r="H19" s="4">
        <v>7</v>
      </c>
      <c r="I19" s="5">
        <f t="shared" si="0"/>
        <v>0.33333333333333331</v>
      </c>
      <c r="J19" s="4">
        <v>8</v>
      </c>
      <c r="K19" s="4">
        <v>0</v>
      </c>
      <c r="L19" s="5">
        <f t="shared" si="1"/>
        <v>0</v>
      </c>
      <c r="M19" s="4">
        <v>0</v>
      </c>
      <c r="N19" s="4">
        <v>9</v>
      </c>
      <c r="O19" s="5">
        <f t="shared" si="2"/>
        <v>0.45</v>
      </c>
      <c r="P19" s="4">
        <v>9</v>
      </c>
      <c r="Q19" s="4">
        <v>0</v>
      </c>
      <c r="R19" s="4">
        <v>0</v>
      </c>
      <c r="S19" s="5">
        <f t="shared" si="3"/>
        <v>0</v>
      </c>
      <c r="T19" s="4">
        <v>0.6</v>
      </c>
      <c r="U19" s="4">
        <f t="shared" si="4"/>
        <v>1.05</v>
      </c>
    </row>
    <row r="20" spans="1:21" x14ac:dyDescent="0.25">
      <c r="A20" t="s">
        <v>55</v>
      </c>
      <c r="B20" s="1" t="s">
        <v>8</v>
      </c>
      <c r="C20" s="1" t="s">
        <v>94</v>
      </c>
      <c r="D20" t="s">
        <v>56</v>
      </c>
      <c r="E20">
        <v>70372</v>
      </c>
      <c r="F20" t="s">
        <v>57</v>
      </c>
      <c r="G20">
        <v>7000</v>
      </c>
      <c r="H20" s="4">
        <v>26</v>
      </c>
      <c r="I20" s="5">
        <f t="shared" si="0"/>
        <v>1.2380952380952381</v>
      </c>
      <c r="J20" s="4">
        <v>27</v>
      </c>
      <c r="K20" s="4">
        <v>6</v>
      </c>
      <c r="L20" s="5">
        <f t="shared" si="1"/>
        <v>0.2857142857142857</v>
      </c>
      <c r="M20" s="4">
        <v>6</v>
      </c>
      <c r="N20" s="4">
        <v>19</v>
      </c>
      <c r="O20" s="5">
        <f t="shared" si="2"/>
        <v>0.95</v>
      </c>
      <c r="P20" s="4">
        <v>20</v>
      </c>
      <c r="Q20" s="4">
        <v>3</v>
      </c>
      <c r="R20" s="4">
        <v>3</v>
      </c>
      <c r="S20" s="5">
        <f t="shared" si="3"/>
        <v>0.15</v>
      </c>
      <c r="T20" s="4">
        <v>0.3</v>
      </c>
      <c r="U20" s="4">
        <f t="shared" si="4"/>
        <v>1.25</v>
      </c>
    </row>
    <row r="21" spans="1:21" x14ac:dyDescent="0.25">
      <c r="A21" t="s">
        <v>55</v>
      </c>
      <c r="B21" s="1" t="s">
        <v>8</v>
      </c>
      <c r="C21" s="1" t="s">
        <v>94</v>
      </c>
      <c r="D21" t="s">
        <v>56</v>
      </c>
      <c r="E21">
        <v>70374</v>
      </c>
      <c r="F21" t="s">
        <v>57</v>
      </c>
      <c r="G21">
        <v>7000</v>
      </c>
      <c r="H21" s="4">
        <v>5</v>
      </c>
      <c r="I21" s="5">
        <f t="shared" si="0"/>
        <v>0.23809523809523808</v>
      </c>
      <c r="J21" s="4">
        <v>5</v>
      </c>
      <c r="K21" s="4">
        <v>0</v>
      </c>
      <c r="L21" s="5">
        <f t="shared" si="1"/>
        <v>0</v>
      </c>
      <c r="M21" s="4">
        <v>0</v>
      </c>
      <c r="N21" s="4">
        <v>2</v>
      </c>
      <c r="O21" s="5">
        <f t="shared" si="2"/>
        <v>0.1</v>
      </c>
      <c r="P21" s="4">
        <v>2</v>
      </c>
      <c r="Q21" s="4">
        <v>0</v>
      </c>
      <c r="R21" s="4">
        <v>0</v>
      </c>
      <c r="S21" s="5">
        <f t="shared" si="3"/>
        <v>0</v>
      </c>
      <c r="T21" s="4">
        <v>0.4</v>
      </c>
      <c r="U21" s="4">
        <f t="shared" si="4"/>
        <v>0.5</v>
      </c>
    </row>
    <row r="22" spans="1:21" x14ac:dyDescent="0.25">
      <c r="A22" t="s">
        <v>55</v>
      </c>
      <c r="B22" s="1" t="s">
        <v>8</v>
      </c>
      <c r="C22" s="1" t="s">
        <v>94</v>
      </c>
      <c r="D22" t="s">
        <v>56</v>
      </c>
      <c r="E22">
        <v>70376</v>
      </c>
      <c r="F22" t="s">
        <v>57</v>
      </c>
      <c r="G22">
        <v>7000</v>
      </c>
      <c r="H22" s="4">
        <v>13</v>
      </c>
      <c r="I22" s="5">
        <f t="shared" si="0"/>
        <v>0.61904761904761907</v>
      </c>
      <c r="J22" s="4">
        <v>13</v>
      </c>
      <c r="K22" s="4">
        <v>0</v>
      </c>
      <c r="L22" s="5">
        <f t="shared" si="1"/>
        <v>0</v>
      </c>
      <c r="M22" s="4">
        <v>0</v>
      </c>
      <c r="N22" s="4">
        <v>20</v>
      </c>
      <c r="O22" s="5">
        <f t="shared" si="2"/>
        <v>1</v>
      </c>
      <c r="P22" s="4">
        <v>21</v>
      </c>
      <c r="Q22" s="4">
        <v>0</v>
      </c>
      <c r="R22" s="4">
        <v>0</v>
      </c>
      <c r="S22" s="5">
        <f t="shared" si="3"/>
        <v>0</v>
      </c>
      <c r="T22" s="4">
        <v>1.4</v>
      </c>
      <c r="U22" s="4">
        <f t="shared" si="4"/>
        <v>2.4</v>
      </c>
    </row>
    <row r="23" spans="1:21" x14ac:dyDescent="0.25">
      <c r="A23" t="s">
        <v>55</v>
      </c>
      <c r="B23" s="1" t="s">
        <v>8</v>
      </c>
      <c r="C23" s="1" t="s">
        <v>94</v>
      </c>
      <c r="D23" t="s">
        <v>56</v>
      </c>
      <c r="E23">
        <v>70378</v>
      </c>
      <c r="F23" t="s">
        <v>57</v>
      </c>
      <c r="G23">
        <v>7000</v>
      </c>
      <c r="H23" s="4">
        <v>4</v>
      </c>
      <c r="I23" s="5">
        <f t="shared" si="0"/>
        <v>0.19047619047619047</v>
      </c>
      <c r="J23" s="4">
        <v>4</v>
      </c>
      <c r="K23" s="4">
        <v>0</v>
      </c>
      <c r="L23" s="5">
        <f t="shared" si="1"/>
        <v>0</v>
      </c>
      <c r="M23" s="4">
        <v>0</v>
      </c>
      <c r="N23" s="4">
        <v>6</v>
      </c>
      <c r="O23" s="5">
        <f t="shared" si="2"/>
        <v>0.3</v>
      </c>
      <c r="P23" s="4">
        <v>6</v>
      </c>
      <c r="Q23" s="4">
        <v>0</v>
      </c>
      <c r="R23" s="4">
        <v>0</v>
      </c>
      <c r="S23" s="5">
        <f t="shared" si="3"/>
        <v>0</v>
      </c>
      <c r="T23" s="4">
        <v>0.3</v>
      </c>
      <c r="U23" s="4">
        <f t="shared" si="4"/>
        <v>0.6</v>
      </c>
    </row>
    <row r="24" spans="1:21" x14ac:dyDescent="0.25">
      <c r="A24" t="s">
        <v>55</v>
      </c>
      <c r="B24" s="1" t="s">
        <v>8</v>
      </c>
      <c r="C24" s="1" t="s">
        <v>94</v>
      </c>
      <c r="D24" t="s">
        <v>56</v>
      </c>
      <c r="E24">
        <v>70435</v>
      </c>
      <c r="F24" t="s">
        <v>57</v>
      </c>
      <c r="G24">
        <v>7000</v>
      </c>
      <c r="H24" s="4">
        <v>18</v>
      </c>
      <c r="I24" s="5">
        <f t="shared" si="0"/>
        <v>0.8571428571428571</v>
      </c>
      <c r="J24" s="4">
        <v>19</v>
      </c>
      <c r="K24" s="4">
        <v>2</v>
      </c>
      <c r="L24" s="5">
        <f t="shared" si="1"/>
        <v>9.5238095238095233E-2</v>
      </c>
      <c r="M24" s="4">
        <v>3</v>
      </c>
      <c r="N24" s="4">
        <v>24</v>
      </c>
      <c r="O24" s="5">
        <f t="shared" si="2"/>
        <v>1.2</v>
      </c>
      <c r="P24" s="4">
        <v>27</v>
      </c>
      <c r="Q24" s="4">
        <v>4</v>
      </c>
      <c r="R24" s="4">
        <v>4</v>
      </c>
      <c r="S24" s="5">
        <f t="shared" si="3"/>
        <v>0.2</v>
      </c>
      <c r="T24" s="4">
        <v>0.9</v>
      </c>
      <c r="U24" s="4">
        <f t="shared" si="4"/>
        <v>2.1</v>
      </c>
    </row>
    <row r="25" spans="1:21" x14ac:dyDescent="0.25">
      <c r="A25" t="s">
        <v>55</v>
      </c>
      <c r="B25" s="1" t="s">
        <v>8</v>
      </c>
      <c r="C25" s="1" t="s">
        <v>94</v>
      </c>
      <c r="D25" t="s">
        <v>56</v>
      </c>
      <c r="E25">
        <v>70437</v>
      </c>
      <c r="F25" t="s">
        <v>57</v>
      </c>
      <c r="G25">
        <v>7000</v>
      </c>
      <c r="H25" s="4">
        <v>0</v>
      </c>
      <c r="I25" s="5">
        <f t="shared" si="0"/>
        <v>0</v>
      </c>
      <c r="J25" s="4">
        <v>0</v>
      </c>
      <c r="K25" s="4">
        <v>0</v>
      </c>
      <c r="L25" s="5">
        <f t="shared" si="1"/>
        <v>0</v>
      </c>
      <c r="M25" s="4">
        <v>0</v>
      </c>
      <c r="N25" s="4">
        <v>4</v>
      </c>
      <c r="O25" s="5">
        <f t="shared" si="2"/>
        <v>0.2</v>
      </c>
      <c r="P25" s="4">
        <v>4</v>
      </c>
      <c r="Q25" s="4">
        <v>0</v>
      </c>
      <c r="R25" s="4">
        <v>0</v>
      </c>
      <c r="S25" s="5">
        <f t="shared" si="3"/>
        <v>0</v>
      </c>
      <c r="T25" s="4">
        <v>0.1</v>
      </c>
      <c r="U25" s="4">
        <f t="shared" si="4"/>
        <v>0.30000000000000004</v>
      </c>
    </row>
    <row r="26" spans="1:21" x14ac:dyDescent="0.25">
      <c r="A26" t="s">
        <v>55</v>
      </c>
      <c r="B26" s="1" t="s">
        <v>8</v>
      </c>
      <c r="C26" s="1" t="s">
        <v>94</v>
      </c>
      <c r="D26" t="s">
        <v>56</v>
      </c>
      <c r="E26">
        <v>70439</v>
      </c>
      <c r="F26" t="s">
        <v>57</v>
      </c>
      <c r="G26">
        <v>7000</v>
      </c>
      <c r="H26" s="4">
        <v>11</v>
      </c>
      <c r="I26" s="5">
        <f t="shared" si="0"/>
        <v>0.52380952380952384</v>
      </c>
      <c r="J26" s="4">
        <v>11</v>
      </c>
      <c r="K26" s="4">
        <v>6</v>
      </c>
      <c r="L26" s="5">
        <f t="shared" si="1"/>
        <v>0.2857142857142857</v>
      </c>
      <c r="M26" s="4">
        <v>7</v>
      </c>
      <c r="N26" s="4">
        <v>7</v>
      </c>
      <c r="O26" s="5">
        <f t="shared" si="2"/>
        <v>0.35</v>
      </c>
      <c r="P26" s="4">
        <v>7</v>
      </c>
      <c r="Q26" s="4">
        <v>6</v>
      </c>
      <c r="R26" s="4">
        <v>9</v>
      </c>
      <c r="S26" s="5">
        <f t="shared" si="3"/>
        <v>0.3</v>
      </c>
      <c r="T26" s="4">
        <v>0.3</v>
      </c>
      <c r="U26" s="4">
        <f t="shared" si="4"/>
        <v>0.64999999999999991</v>
      </c>
    </row>
    <row r="27" spans="1:21" x14ac:dyDescent="0.25">
      <c r="A27" t="s">
        <v>55</v>
      </c>
      <c r="B27" s="1" t="s">
        <v>8</v>
      </c>
      <c r="C27" s="1" t="s">
        <v>94</v>
      </c>
      <c r="D27" t="s">
        <v>56</v>
      </c>
      <c r="E27">
        <v>70469</v>
      </c>
      <c r="F27" t="s">
        <v>57</v>
      </c>
      <c r="G27">
        <v>7000</v>
      </c>
      <c r="H27" s="4">
        <v>31</v>
      </c>
      <c r="I27" s="5">
        <f t="shared" si="0"/>
        <v>1.4761904761904763</v>
      </c>
      <c r="J27" s="4">
        <v>32</v>
      </c>
      <c r="K27" s="4">
        <v>12</v>
      </c>
      <c r="L27" s="5">
        <f t="shared" si="1"/>
        <v>0.5714285714285714</v>
      </c>
      <c r="M27" s="4">
        <v>15</v>
      </c>
      <c r="N27" s="4">
        <v>36</v>
      </c>
      <c r="O27" s="5">
        <f t="shared" si="2"/>
        <v>1.8</v>
      </c>
      <c r="P27" s="4">
        <v>37</v>
      </c>
      <c r="Q27" s="4">
        <v>9</v>
      </c>
      <c r="R27" s="4">
        <v>13</v>
      </c>
      <c r="S27" s="5">
        <f t="shared" si="3"/>
        <v>0.45</v>
      </c>
      <c r="T27" s="4">
        <v>1.3</v>
      </c>
      <c r="U27" s="4">
        <f t="shared" si="4"/>
        <v>3.1</v>
      </c>
    </row>
    <row r="28" spans="1:21" x14ac:dyDescent="0.25">
      <c r="A28" t="s">
        <v>55</v>
      </c>
      <c r="B28" s="1" t="s">
        <v>20</v>
      </c>
      <c r="C28" s="1" t="s">
        <v>94</v>
      </c>
      <c r="D28" t="s">
        <v>56</v>
      </c>
      <c r="E28">
        <v>70499</v>
      </c>
      <c r="F28" t="s">
        <v>57</v>
      </c>
      <c r="G28">
        <v>7000</v>
      </c>
      <c r="H28" s="4">
        <v>44</v>
      </c>
      <c r="I28" s="5">
        <f t="shared" si="0"/>
        <v>2.0952380952380953</v>
      </c>
      <c r="J28" s="4">
        <v>52</v>
      </c>
      <c r="K28" s="4">
        <v>21</v>
      </c>
      <c r="L28" s="5">
        <f t="shared" si="1"/>
        <v>1</v>
      </c>
      <c r="M28" s="4">
        <v>42</v>
      </c>
      <c r="N28" s="4">
        <v>40</v>
      </c>
      <c r="O28" s="5">
        <f t="shared" si="2"/>
        <v>2</v>
      </c>
      <c r="P28" s="4">
        <v>46</v>
      </c>
      <c r="Q28" s="4">
        <v>25</v>
      </c>
      <c r="R28" s="4">
        <v>28</v>
      </c>
      <c r="S28" s="5">
        <f t="shared" si="3"/>
        <v>1.25</v>
      </c>
      <c r="T28" s="4">
        <v>1.1000000000000001</v>
      </c>
      <c r="U28" s="4">
        <f t="shared" si="4"/>
        <v>3.1</v>
      </c>
    </row>
    <row r="29" spans="1:21" x14ac:dyDescent="0.25">
      <c r="A29" t="s">
        <v>60</v>
      </c>
      <c r="B29" s="1" t="s">
        <v>19</v>
      </c>
      <c r="C29" s="1" t="s">
        <v>94</v>
      </c>
      <c r="D29" t="s">
        <v>62</v>
      </c>
      <c r="E29">
        <v>70563</v>
      </c>
      <c r="F29" t="s">
        <v>57</v>
      </c>
      <c r="G29">
        <v>7000</v>
      </c>
      <c r="H29" s="4">
        <v>6</v>
      </c>
      <c r="I29" s="5">
        <f t="shared" si="0"/>
        <v>0.2857142857142857</v>
      </c>
      <c r="J29" s="4">
        <v>7</v>
      </c>
      <c r="K29" s="4">
        <v>0</v>
      </c>
      <c r="L29" s="5">
        <f t="shared" si="1"/>
        <v>0</v>
      </c>
      <c r="M29" s="4">
        <v>0</v>
      </c>
      <c r="N29" s="4">
        <v>8</v>
      </c>
      <c r="O29" s="5">
        <f t="shared" si="2"/>
        <v>0.4</v>
      </c>
      <c r="P29" s="4">
        <v>9</v>
      </c>
      <c r="Q29" s="4">
        <v>0</v>
      </c>
      <c r="R29" s="4">
        <v>0</v>
      </c>
      <c r="S29" s="5">
        <f t="shared" si="3"/>
        <v>0</v>
      </c>
      <c r="T29" s="4">
        <v>0.3</v>
      </c>
      <c r="U29" s="4">
        <f t="shared" si="4"/>
        <v>0.7</v>
      </c>
    </row>
    <row r="30" spans="1:21" x14ac:dyDescent="0.25">
      <c r="A30" t="s">
        <v>60</v>
      </c>
      <c r="B30" s="1" t="s">
        <v>19</v>
      </c>
      <c r="C30" s="1" t="s">
        <v>94</v>
      </c>
      <c r="D30" t="s">
        <v>62</v>
      </c>
      <c r="E30">
        <v>70565</v>
      </c>
      <c r="F30" t="s">
        <v>57</v>
      </c>
      <c r="G30">
        <v>7000</v>
      </c>
      <c r="H30" s="4">
        <v>25</v>
      </c>
      <c r="I30" s="5">
        <f t="shared" si="0"/>
        <v>1.1904761904761905</v>
      </c>
      <c r="J30" s="4">
        <v>26</v>
      </c>
      <c r="K30" s="4">
        <v>2</v>
      </c>
      <c r="L30" s="5">
        <f t="shared" si="1"/>
        <v>9.5238095238095233E-2</v>
      </c>
      <c r="M30" s="4">
        <v>2</v>
      </c>
      <c r="N30" s="4">
        <v>12</v>
      </c>
      <c r="O30" s="5">
        <f t="shared" si="2"/>
        <v>0.6</v>
      </c>
      <c r="P30" s="4">
        <v>12</v>
      </c>
      <c r="Q30" s="4">
        <v>2</v>
      </c>
      <c r="R30" s="4">
        <v>2</v>
      </c>
      <c r="S30" s="5">
        <f t="shared" si="3"/>
        <v>0.1</v>
      </c>
      <c r="T30" s="4">
        <v>1.9</v>
      </c>
      <c r="U30" s="4">
        <f t="shared" si="4"/>
        <v>2.5</v>
      </c>
    </row>
    <row r="31" spans="1:21" x14ac:dyDescent="0.25">
      <c r="A31" t="s">
        <v>60</v>
      </c>
      <c r="B31" s="1" t="s">
        <v>19</v>
      </c>
      <c r="C31" s="1" t="s">
        <v>94</v>
      </c>
      <c r="D31" t="s">
        <v>62</v>
      </c>
      <c r="E31">
        <v>70567</v>
      </c>
      <c r="F31" t="s">
        <v>57</v>
      </c>
      <c r="G31">
        <v>7000</v>
      </c>
      <c r="H31" s="4">
        <v>7</v>
      </c>
      <c r="I31" s="5">
        <f t="shared" si="0"/>
        <v>0.33333333333333331</v>
      </c>
      <c r="J31" s="4">
        <v>7</v>
      </c>
      <c r="K31" s="4">
        <v>0</v>
      </c>
      <c r="L31" s="5">
        <f t="shared" si="1"/>
        <v>0</v>
      </c>
      <c r="M31" s="4">
        <v>0</v>
      </c>
      <c r="N31" s="4">
        <v>2</v>
      </c>
      <c r="O31" s="5">
        <f t="shared" si="2"/>
        <v>0.1</v>
      </c>
      <c r="P31" s="4">
        <v>2</v>
      </c>
      <c r="Q31" s="4">
        <v>0</v>
      </c>
      <c r="R31" s="4">
        <v>0</v>
      </c>
      <c r="S31" s="5">
        <f t="shared" si="3"/>
        <v>0</v>
      </c>
      <c r="T31" s="4">
        <v>0.7</v>
      </c>
      <c r="U31" s="4">
        <f t="shared" si="4"/>
        <v>0.79999999999999993</v>
      </c>
    </row>
    <row r="32" spans="1:21" x14ac:dyDescent="0.25">
      <c r="A32" t="s">
        <v>60</v>
      </c>
      <c r="B32" s="1" t="s">
        <v>19</v>
      </c>
      <c r="C32" s="1" t="s">
        <v>94</v>
      </c>
      <c r="D32" t="s">
        <v>62</v>
      </c>
      <c r="E32">
        <v>70569</v>
      </c>
      <c r="F32" t="s">
        <v>57</v>
      </c>
      <c r="G32">
        <v>7000</v>
      </c>
      <c r="H32" s="4">
        <v>17</v>
      </c>
      <c r="I32" s="5">
        <f t="shared" si="0"/>
        <v>0.80952380952380953</v>
      </c>
      <c r="J32" s="4">
        <v>27</v>
      </c>
      <c r="K32" s="4">
        <v>0</v>
      </c>
      <c r="L32" s="5">
        <f t="shared" si="1"/>
        <v>0</v>
      </c>
      <c r="M32" s="4">
        <v>0</v>
      </c>
      <c r="N32" s="4">
        <v>5</v>
      </c>
      <c r="O32" s="5">
        <f t="shared" si="2"/>
        <v>0.25</v>
      </c>
      <c r="P32" s="4">
        <v>6</v>
      </c>
      <c r="Q32" s="4">
        <v>0</v>
      </c>
      <c r="R32" s="4">
        <v>0</v>
      </c>
      <c r="S32" s="5">
        <f t="shared" si="3"/>
        <v>0</v>
      </c>
      <c r="T32" s="4">
        <v>0.3</v>
      </c>
      <c r="U32" s="4">
        <f t="shared" si="4"/>
        <v>0.55000000000000004</v>
      </c>
    </row>
    <row r="33" spans="1:21" x14ac:dyDescent="0.25">
      <c r="A33" t="s">
        <v>60</v>
      </c>
      <c r="B33" s="1" t="s">
        <v>19</v>
      </c>
      <c r="C33" s="1" t="s">
        <v>94</v>
      </c>
      <c r="D33" t="s">
        <v>62</v>
      </c>
      <c r="E33">
        <v>70597</v>
      </c>
      <c r="F33" t="s">
        <v>57</v>
      </c>
      <c r="G33">
        <v>7000</v>
      </c>
      <c r="H33" s="4">
        <v>19</v>
      </c>
      <c r="I33" s="5">
        <f t="shared" si="0"/>
        <v>0.90476190476190477</v>
      </c>
      <c r="J33" s="4">
        <v>24</v>
      </c>
      <c r="K33" s="4">
        <v>1</v>
      </c>
      <c r="L33" s="5">
        <f t="shared" si="1"/>
        <v>4.7619047619047616E-2</v>
      </c>
      <c r="M33" s="4">
        <v>1</v>
      </c>
      <c r="N33" s="4">
        <v>12</v>
      </c>
      <c r="O33" s="5">
        <f t="shared" si="2"/>
        <v>0.6</v>
      </c>
      <c r="P33" s="4">
        <v>13</v>
      </c>
      <c r="Q33" s="4">
        <v>1</v>
      </c>
      <c r="R33" s="4">
        <v>1</v>
      </c>
      <c r="S33" s="5">
        <f t="shared" si="3"/>
        <v>0.05</v>
      </c>
      <c r="T33" s="4">
        <v>0.3</v>
      </c>
      <c r="U33" s="4">
        <f t="shared" si="4"/>
        <v>0.89999999999999991</v>
      </c>
    </row>
    <row r="34" spans="1:21" x14ac:dyDescent="0.25">
      <c r="A34" t="s">
        <v>60</v>
      </c>
      <c r="B34" s="1" t="s">
        <v>19</v>
      </c>
      <c r="C34" s="1" t="s">
        <v>94</v>
      </c>
      <c r="D34" t="s">
        <v>62</v>
      </c>
      <c r="E34">
        <v>70599</v>
      </c>
      <c r="F34" t="s">
        <v>57</v>
      </c>
      <c r="G34">
        <v>7000</v>
      </c>
      <c r="H34" s="4">
        <v>9</v>
      </c>
      <c r="I34" s="5">
        <f t="shared" si="0"/>
        <v>0.42857142857142855</v>
      </c>
      <c r="J34" s="4">
        <v>9</v>
      </c>
      <c r="K34" s="4">
        <v>1</v>
      </c>
      <c r="L34" s="5">
        <f t="shared" si="1"/>
        <v>4.7619047619047616E-2</v>
      </c>
      <c r="M34" s="4">
        <v>1</v>
      </c>
      <c r="N34" s="4">
        <v>7</v>
      </c>
      <c r="O34" s="5">
        <f t="shared" si="2"/>
        <v>0.35</v>
      </c>
      <c r="P34" s="4">
        <v>9</v>
      </c>
      <c r="Q34" s="4">
        <v>0</v>
      </c>
      <c r="R34" s="4">
        <v>0</v>
      </c>
      <c r="S34" s="5">
        <f t="shared" si="3"/>
        <v>0</v>
      </c>
      <c r="T34" s="4">
        <v>0.2</v>
      </c>
      <c r="U34" s="4">
        <f t="shared" si="4"/>
        <v>0.55000000000000004</v>
      </c>
    </row>
    <row r="35" spans="1:21" x14ac:dyDescent="0.25">
      <c r="A35" t="s">
        <v>60</v>
      </c>
      <c r="B35" s="1" t="s">
        <v>19</v>
      </c>
      <c r="C35" s="1" t="s">
        <v>94</v>
      </c>
      <c r="D35" t="s">
        <v>62</v>
      </c>
      <c r="E35">
        <v>70619</v>
      </c>
      <c r="F35" t="s">
        <v>57</v>
      </c>
      <c r="G35">
        <v>7000</v>
      </c>
      <c r="H35" s="4">
        <v>3</v>
      </c>
      <c r="I35" s="5">
        <f t="shared" si="0"/>
        <v>0.14285714285714285</v>
      </c>
      <c r="J35" s="4">
        <v>3</v>
      </c>
      <c r="K35" s="4">
        <v>0</v>
      </c>
      <c r="L35" s="5">
        <f t="shared" si="1"/>
        <v>0</v>
      </c>
      <c r="M35" s="4">
        <v>0</v>
      </c>
      <c r="N35" s="4">
        <v>3</v>
      </c>
      <c r="O35" s="5">
        <f t="shared" si="2"/>
        <v>0.15</v>
      </c>
      <c r="P35" s="4">
        <v>3</v>
      </c>
      <c r="Q35" s="4">
        <v>0</v>
      </c>
      <c r="R35" s="4">
        <v>0</v>
      </c>
      <c r="S35" s="5">
        <f t="shared" si="3"/>
        <v>0</v>
      </c>
      <c r="T35" s="4">
        <v>0.5</v>
      </c>
      <c r="U35" s="4">
        <f t="shared" si="4"/>
        <v>0.65</v>
      </c>
    </row>
    <row r="36" spans="1:21" x14ac:dyDescent="0.25">
      <c r="A36" t="s">
        <v>60</v>
      </c>
      <c r="B36" s="1" t="s">
        <v>19</v>
      </c>
      <c r="C36" s="1" t="s">
        <v>94</v>
      </c>
      <c r="D36" t="s">
        <v>62</v>
      </c>
      <c r="E36">
        <v>70629</v>
      </c>
      <c r="F36" t="s">
        <v>57</v>
      </c>
      <c r="G36">
        <v>7000</v>
      </c>
      <c r="H36" s="4">
        <v>4</v>
      </c>
      <c r="I36" s="5">
        <f t="shared" si="0"/>
        <v>0.19047619047619047</v>
      </c>
      <c r="J36" s="4">
        <v>4</v>
      </c>
      <c r="K36" s="4">
        <v>3</v>
      </c>
      <c r="L36" s="5">
        <f t="shared" si="1"/>
        <v>0.14285714285714285</v>
      </c>
      <c r="M36" s="4">
        <v>3</v>
      </c>
      <c r="N36" s="4">
        <v>3</v>
      </c>
      <c r="O36" s="5">
        <f t="shared" si="2"/>
        <v>0.15</v>
      </c>
      <c r="P36" s="4">
        <v>3</v>
      </c>
      <c r="Q36" s="4">
        <v>2</v>
      </c>
      <c r="R36" s="4">
        <v>2</v>
      </c>
      <c r="S36" s="5">
        <f t="shared" si="3"/>
        <v>0.1</v>
      </c>
      <c r="T36" s="4">
        <v>0.4</v>
      </c>
      <c r="U36" s="4">
        <f t="shared" si="4"/>
        <v>0.55000000000000004</v>
      </c>
    </row>
    <row r="37" spans="1:21" x14ac:dyDescent="0.25">
      <c r="A37" t="s">
        <v>63</v>
      </c>
      <c r="B37" s="1" t="s">
        <v>5</v>
      </c>
      <c r="C37" s="1" t="s">
        <v>94</v>
      </c>
      <c r="D37" t="s">
        <v>64</v>
      </c>
      <c r="E37">
        <v>70734</v>
      </c>
      <c r="F37" t="s">
        <v>57</v>
      </c>
      <c r="G37">
        <v>7000</v>
      </c>
      <c r="H37" s="4">
        <v>15</v>
      </c>
      <c r="I37" s="5">
        <f t="shared" si="0"/>
        <v>0.7142857142857143</v>
      </c>
      <c r="J37" s="4">
        <v>15</v>
      </c>
      <c r="K37" s="4">
        <v>3</v>
      </c>
      <c r="L37" s="5">
        <f t="shared" si="1"/>
        <v>0.14285714285714285</v>
      </c>
      <c r="M37" s="4">
        <v>3</v>
      </c>
      <c r="N37" s="4">
        <v>15</v>
      </c>
      <c r="O37" s="5">
        <f t="shared" si="2"/>
        <v>0.75</v>
      </c>
      <c r="P37" s="4">
        <v>15</v>
      </c>
      <c r="Q37" s="4">
        <v>0</v>
      </c>
      <c r="R37" s="4">
        <v>0</v>
      </c>
      <c r="S37" s="5">
        <f t="shared" si="3"/>
        <v>0</v>
      </c>
      <c r="T37" s="4">
        <v>0.3</v>
      </c>
      <c r="U37" s="4">
        <f t="shared" si="4"/>
        <v>1.05</v>
      </c>
    </row>
    <row r="38" spans="1:21" x14ac:dyDescent="0.25">
      <c r="A38" t="s">
        <v>63</v>
      </c>
      <c r="B38" s="1" t="s">
        <v>5</v>
      </c>
      <c r="C38" s="1" t="s">
        <v>94</v>
      </c>
      <c r="D38" t="s">
        <v>64</v>
      </c>
      <c r="E38">
        <v>70736</v>
      </c>
      <c r="F38" t="s">
        <v>57</v>
      </c>
      <c r="G38">
        <v>7000</v>
      </c>
      <c r="H38" s="4">
        <v>56</v>
      </c>
      <c r="I38" s="5">
        <f t="shared" si="0"/>
        <v>2.6666666666666665</v>
      </c>
      <c r="J38" s="4">
        <v>57</v>
      </c>
      <c r="K38" s="4">
        <v>25</v>
      </c>
      <c r="L38" s="5">
        <f t="shared" si="1"/>
        <v>1.1904761904761905</v>
      </c>
      <c r="M38" s="4">
        <v>34</v>
      </c>
      <c r="N38" s="4">
        <v>90</v>
      </c>
      <c r="O38" s="5">
        <f t="shared" si="2"/>
        <v>4.5</v>
      </c>
      <c r="P38" s="4">
        <v>94</v>
      </c>
      <c r="Q38" s="4">
        <v>29</v>
      </c>
      <c r="R38" s="4">
        <v>34</v>
      </c>
      <c r="S38" s="5">
        <f t="shared" si="3"/>
        <v>1.45</v>
      </c>
      <c r="T38" s="4">
        <v>2.2999999999999998</v>
      </c>
      <c r="U38" s="4">
        <f t="shared" si="4"/>
        <v>6.8</v>
      </c>
    </row>
    <row r="39" spans="1:21" x14ac:dyDescent="0.25">
      <c r="A39" t="s">
        <v>60</v>
      </c>
      <c r="B39" s="1" t="s">
        <v>19</v>
      </c>
      <c r="C39" s="1" t="s">
        <v>94</v>
      </c>
      <c r="D39" t="s">
        <v>62</v>
      </c>
      <c r="E39">
        <v>70771</v>
      </c>
      <c r="F39" t="s">
        <v>57</v>
      </c>
      <c r="G39">
        <v>7000</v>
      </c>
      <c r="H39" s="4">
        <v>49</v>
      </c>
      <c r="I39" s="5">
        <f t="shared" si="0"/>
        <v>2.3333333333333335</v>
      </c>
      <c r="J39" s="4">
        <v>49</v>
      </c>
      <c r="K39" s="4">
        <v>32</v>
      </c>
      <c r="L39" s="5">
        <f t="shared" si="1"/>
        <v>1.5238095238095237</v>
      </c>
      <c r="M39" s="4">
        <v>35</v>
      </c>
      <c r="N39" s="4">
        <v>30</v>
      </c>
      <c r="O39" s="5">
        <f t="shared" si="2"/>
        <v>1.5</v>
      </c>
      <c r="P39" s="4">
        <v>30</v>
      </c>
      <c r="Q39" s="4">
        <v>20</v>
      </c>
      <c r="R39" s="4">
        <v>26</v>
      </c>
      <c r="S39" s="5">
        <f t="shared" si="3"/>
        <v>1</v>
      </c>
      <c r="T39" s="4">
        <v>2.4</v>
      </c>
      <c r="U39" s="4">
        <f t="shared" si="4"/>
        <v>3.9</v>
      </c>
    </row>
    <row r="40" spans="1:21" x14ac:dyDescent="0.25">
      <c r="A40" t="s">
        <v>60</v>
      </c>
      <c r="B40" s="1" t="s">
        <v>19</v>
      </c>
      <c r="C40" s="1" t="s">
        <v>94</v>
      </c>
      <c r="D40" t="s">
        <v>62</v>
      </c>
      <c r="E40">
        <v>70794</v>
      </c>
      <c r="F40" t="s">
        <v>57</v>
      </c>
      <c r="G40">
        <v>7000</v>
      </c>
      <c r="H40" s="4">
        <v>39</v>
      </c>
      <c r="I40" s="5">
        <f t="shared" si="0"/>
        <v>1.8571428571428572</v>
      </c>
      <c r="J40" s="4">
        <v>40</v>
      </c>
      <c r="K40" s="4">
        <v>10</v>
      </c>
      <c r="L40" s="5">
        <f t="shared" si="1"/>
        <v>0.47619047619047616</v>
      </c>
      <c r="M40" s="4">
        <v>12</v>
      </c>
      <c r="N40" s="4">
        <v>26</v>
      </c>
      <c r="O40" s="5">
        <f t="shared" si="2"/>
        <v>1.3</v>
      </c>
      <c r="P40" s="4">
        <v>26</v>
      </c>
      <c r="Q40" s="4">
        <v>8</v>
      </c>
      <c r="R40" s="4">
        <v>8</v>
      </c>
      <c r="S40" s="5">
        <f t="shared" si="3"/>
        <v>0.4</v>
      </c>
      <c r="T40" s="4">
        <v>2.2000000000000002</v>
      </c>
      <c r="U40" s="4">
        <f t="shared" si="4"/>
        <v>3.5</v>
      </c>
    </row>
    <row r="41" spans="1:21" x14ac:dyDescent="0.25">
      <c r="A41" t="s">
        <v>55</v>
      </c>
      <c r="B41" s="1" t="s">
        <v>8</v>
      </c>
      <c r="C41" s="1" t="s">
        <v>94</v>
      </c>
      <c r="D41" t="s">
        <v>56</v>
      </c>
      <c r="E41">
        <v>70806</v>
      </c>
      <c r="F41" t="s">
        <v>57</v>
      </c>
      <c r="G41">
        <v>7000</v>
      </c>
      <c r="H41" s="4">
        <v>49</v>
      </c>
      <c r="I41" s="5">
        <f t="shared" si="0"/>
        <v>2.3333333333333335</v>
      </c>
      <c r="J41" s="4">
        <v>51</v>
      </c>
      <c r="K41" s="4">
        <v>16</v>
      </c>
      <c r="L41" s="5">
        <f t="shared" si="1"/>
        <v>0.76190476190476186</v>
      </c>
      <c r="M41" s="4">
        <v>16</v>
      </c>
      <c r="N41" s="4">
        <v>64</v>
      </c>
      <c r="O41" s="5">
        <f t="shared" si="2"/>
        <v>3.2</v>
      </c>
      <c r="P41" s="4">
        <v>68</v>
      </c>
      <c r="Q41" s="4">
        <v>9</v>
      </c>
      <c r="R41" s="4">
        <v>9</v>
      </c>
      <c r="S41" s="5">
        <f t="shared" si="3"/>
        <v>0.45</v>
      </c>
      <c r="T41" s="4">
        <v>2.5</v>
      </c>
      <c r="U41" s="4">
        <f t="shared" si="4"/>
        <v>5.7</v>
      </c>
    </row>
    <row r="42" spans="1:21" x14ac:dyDescent="0.25">
      <c r="A42" t="s">
        <v>55</v>
      </c>
      <c r="B42" s="1" t="s">
        <v>14</v>
      </c>
      <c r="C42" s="1" t="s">
        <v>94</v>
      </c>
      <c r="D42" t="s">
        <v>56</v>
      </c>
      <c r="E42">
        <v>70825</v>
      </c>
      <c r="F42" t="s">
        <v>57</v>
      </c>
      <c r="G42">
        <v>7000</v>
      </c>
      <c r="H42" s="4">
        <v>32</v>
      </c>
      <c r="I42" s="5">
        <f t="shared" si="0"/>
        <v>1.5238095238095237</v>
      </c>
      <c r="J42" s="4">
        <v>32</v>
      </c>
      <c r="K42" s="4">
        <v>48</v>
      </c>
      <c r="L42" s="5">
        <f t="shared" si="1"/>
        <v>2.2857142857142856</v>
      </c>
      <c r="M42" s="4">
        <v>100</v>
      </c>
      <c r="N42" s="4">
        <v>33</v>
      </c>
      <c r="O42" s="5">
        <f t="shared" si="2"/>
        <v>1.65</v>
      </c>
      <c r="P42" s="4">
        <v>33</v>
      </c>
      <c r="Q42" s="4">
        <v>42</v>
      </c>
      <c r="R42" s="4">
        <v>85</v>
      </c>
      <c r="S42" s="5">
        <f t="shared" si="3"/>
        <v>2.1</v>
      </c>
      <c r="T42" s="4">
        <v>1</v>
      </c>
      <c r="U42" s="4">
        <f t="shared" si="4"/>
        <v>2.65</v>
      </c>
    </row>
    <row r="43" spans="1:21" x14ac:dyDescent="0.25">
      <c r="A43" t="s">
        <v>66</v>
      </c>
      <c r="B43" s="1" t="s">
        <v>20</v>
      </c>
      <c r="C43" s="1" t="s">
        <v>94</v>
      </c>
      <c r="D43" t="s">
        <v>67</v>
      </c>
      <c r="E43">
        <v>70839</v>
      </c>
      <c r="F43" t="s">
        <v>57</v>
      </c>
      <c r="G43">
        <v>7000</v>
      </c>
      <c r="H43" s="4">
        <v>26</v>
      </c>
      <c r="I43" s="5">
        <f t="shared" si="0"/>
        <v>1.2380952380952381</v>
      </c>
      <c r="J43" s="4">
        <v>27</v>
      </c>
      <c r="K43" s="4">
        <v>3</v>
      </c>
      <c r="L43" s="5">
        <f t="shared" si="1"/>
        <v>0.14285714285714285</v>
      </c>
      <c r="M43" s="4">
        <v>3</v>
      </c>
      <c r="N43" s="4">
        <v>22</v>
      </c>
      <c r="O43" s="5">
        <f t="shared" si="2"/>
        <v>1.1000000000000001</v>
      </c>
      <c r="P43" s="4">
        <v>22</v>
      </c>
      <c r="Q43" s="4">
        <v>1</v>
      </c>
      <c r="R43" s="4">
        <v>1</v>
      </c>
      <c r="S43" s="5">
        <f t="shared" si="3"/>
        <v>0.05</v>
      </c>
      <c r="T43" s="4">
        <v>0.5</v>
      </c>
      <c r="U43" s="4">
        <f t="shared" si="4"/>
        <v>1.6</v>
      </c>
    </row>
    <row r="44" spans="1:21" x14ac:dyDescent="0.25">
      <c r="A44" t="s">
        <v>68</v>
      </c>
      <c r="B44" s="1" t="s">
        <v>17</v>
      </c>
      <c r="C44" s="1" t="s">
        <v>94</v>
      </c>
      <c r="D44" t="s">
        <v>69</v>
      </c>
      <c r="E44">
        <v>71032</v>
      </c>
      <c r="F44" t="s">
        <v>57</v>
      </c>
      <c r="G44">
        <v>7000</v>
      </c>
      <c r="H44" s="4">
        <v>16</v>
      </c>
      <c r="I44" s="5">
        <f t="shared" si="0"/>
        <v>0.76190476190476186</v>
      </c>
      <c r="J44" s="4">
        <v>17</v>
      </c>
      <c r="K44" s="4">
        <v>3</v>
      </c>
      <c r="L44" s="5">
        <f t="shared" si="1"/>
        <v>0.14285714285714285</v>
      </c>
      <c r="M44" s="4">
        <v>5</v>
      </c>
      <c r="N44" s="4">
        <v>14</v>
      </c>
      <c r="O44" s="5">
        <f t="shared" si="2"/>
        <v>0.7</v>
      </c>
      <c r="P44" s="4">
        <v>19</v>
      </c>
      <c r="Q44" s="4">
        <v>3</v>
      </c>
      <c r="R44" s="4">
        <v>4</v>
      </c>
      <c r="S44" s="5">
        <f t="shared" si="3"/>
        <v>0.15</v>
      </c>
      <c r="T44" s="4">
        <v>0.8</v>
      </c>
      <c r="U44" s="4">
        <f t="shared" si="4"/>
        <v>1.5</v>
      </c>
    </row>
    <row r="45" spans="1:21" x14ac:dyDescent="0.25">
      <c r="A45" t="s">
        <v>68</v>
      </c>
      <c r="B45" s="1" t="s">
        <v>17</v>
      </c>
      <c r="C45" s="1" t="s">
        <v>94</v>
      </c>
      <c r="D45" t="s">
        <v>69</v>
      </c>
      <c r="E45">
        <v>71034</v>
      </c>
      <c r="F45" t="s">
        <v>57</v>
      </c>
      <c r="G45">
        <v>7000</v>
      </c>
      <c r="H45" s="4">
        <v>39</v>
      </c>
      <c r="I45" s="5">
        <f t="shared" si="0"/>
        <v>1.8571428571428572</v>
      </c>
      <c r="J45" s="4">
        <v>43</v>
      </c>
      <c r="K45" s="4">
        <v>1</v>
      </c>
      <c r="L45" s="5">
        <f t="shared" si="1"/>
        <v>4.7619047619047616E-2</v>
      </c>
      <c r="M45" s="4">
        <v>1</v>
      </c>
      <c r="N45" s="4">
        <v>43</v>
      </c>
      <c r="O45" s="5">
        <f t="shared" si="2"/>
        <v>2.15</v>
      </c>
      <c r="P45" s="4">
        <v>44</v>
      </c>
      <c r="Q45" s="4">
        <v>1</v>
      </c>
      <c r="R45" s="4">
        <v>1</v>
      </c>
      <c r="S45" s="5">
        <f t="shared" si="3"/>
        <v>0.05</v>
      </c>
      <c r="T45" s="4">
        <v>2.1</v>
      </c>
      <c r="U45" s="4">
        <f t="shared" si="4"/>
        <v>4.25</v>
      </c>
    </row>
    <row r="46" spans="1:21" x14ac:dyDescent="0.25">
      <c r="A46" t="s">
        <v>68</v>
      </c>
      <c r="B46" s="1" t="s">
        <v>17</v>
      </c>
      <c r="C46" s="1" t="s">
        <v>94</v>
      </c>
      <c r="D46" t="s">
        <v>69</v>
      </c>
      <c r="E46">
        <v>71063</v>
      </c>
      <c r="F46" t="s">
        <v>57</v>
      </c>
      <c r="G46">
        <v>7000</v>
      </c>
      <c r="H46" s="4">
        <v>16</v>
      </c>
      <c r="I46" s="5">
        <f t="shared" si="0"/>
        <v>0.76190476190476186</v>
      </c>
      <c r="J46" s="4">
        <v>17</v>
      </c>
      <c r="K46" s="4">
        <v>1</v>
      </c>
      <c r="L46" s="5">
        <f t="shared" si="1"/>
        <v>4.7619047619047616E-2</v>
      </c>
      <c r="M46" s="4">
        <v>1</v>
      </c>
      <c r="N46" s="4">
        <v>15</v>
      </c>
      <c r="O46" s="5">
        <f t="shared" si="2"/>
        <v>0.75</v>
      </c>
      <c r="P46" s="4">
        <v>15</v>
      </c>
      <c r="Q46" s="4">
        <v>1</v>
      </c>
      <c r="R46" s="4">
        <v>1</v>
      </c>
      <c r="S46" s="5">
        <f t="shared" si="3"/>
        <v>0.05</v>
      </c>
      <c r="T46" s="4">
        <v>0.8</v>
      </c>
      <c r="U46" s="4">
        <f t="shared" si="4"/>
        <v>1.55</v>
      </c>
    </row>
    <row r="47" spans="1:21" x14ac:dyDescent="0.25">
      <c r="A47" t="s">
        <v>68</v>
      </c>
      <c r="B47" s="1" t="s">
        <v>17</v>
      </c>
      <c r="C47" s="1" t="s">
        <v>94</v>
      </c>
      <c r="D47" t="s">
        <v>69</v>
      </c>
      <c r="E47">
        <v>71065</v>
      </c>
      <c r="F47" t="s">
        <v>57</v>
      </c>
      <c r="G47">
        <v>7000</v>
      </c>
      <c r="H47" s="4">
        <v>13</v>
      </c>
      <c r="I47" s="5">
        <f t="shared" si="0"/>
        <v>0.61904761904761907</v>
      </c>
      <c r="J47" s="4">
        <v>18</v>
      </c>
      <c r="K47" s="4">
        <v>1</v>
      </c>
      <c r="L47" s="5">
        <f t="shared" si="1"/>
        <v>4.7619047619047616E-2</v>
      </c>
      <c r="M47" s="4">
        <v>1</v>
      </c>
      <c r="N47" s="4">
        <v>12</v>
      </c>
      <c r="O47" s="5">
        <f t="shared" si="2"/>
        <v>0.6</v>
      </c>
      <c r="P47" s="4">
        <v>14</v>
      </c>
      <c r="Q47" s="4">
        <v>2</v>
      </c>
      <c r="R47" s="4">
        <v>2</v>
      </c>
      <c r="S47" s="5">
        <f t="shared" si="3"/>
        <v>0.1</v>
      </c>
      <c r="T47" s="4">
        <v>0.8</v>
      </c>
      <c r="U47" s="4">
        <f t="shared" si="4"/>
        <v>1.4</v>
      </c>
    </row>
    <row r="48" spans="1:21" x14ac:dyDescent="0.25">
      <c r="A48" t="s">
        <v>68</v>
      </c>
      <c r="B48" s="1" t="s">
        <v>17</v>
      </c>
      <c r="C48" s="1" t="s">
        <v>94</v>
      </c>
      <c r="D48" t="s">
        <v>69</v>
      </c>
      <c r="E48">
        <v>71067</v>
      </c>
      <c r="F48" t="s">
        <v>57</v>
      </c>
      <c r="G48">
        <v>7000</v>
      </c>
      <c r="H48" s="4">
        <v>0</v>
      </c>
      <c r="I48" s="5">
        <f t="shared" si="0"/>
        <v>0</v>
      </c>
      <c r="J48" s="4">
        <v>0</v>
      </c>
      <c r="K48" s="4">
        <v>0</v>
      </c>
      <c r="L48" s="5">
        <f t="shared" si="1"/>
        <v>0</v>
      </c>
      <c r="M48" s="4">
        <v>0</v>
      </c>
      <c r="N48" s="4">
        <v>1</v>
      </c>
      <c r="O48" s="5">
        <f t="shared" si="2"/>
        <v>0.05</v>
      </c>
      <c r="P48" s="4">
        <v>1</v>
      </c>
      <c r="Q48" s="4">
        <v>0</v>
      </c>
      <c r="R48" s="4">
        <v>0</v>
      </c>
      <c r="S48" s="5">
        <f t="shared" si="3"/>
        <v>0</v>
      </c>
      <c r="T48" s="4">
        <v>0.1</v>
      </c>
      <c r="U48" s="4">
        <f t="shared" si="4"/>
        <v>0.15000000000000002</v>
      </c>
    </row>
    <row r="49" spans="1:21" x14ac:dyDescent="0.25">
      <c r="A49" t="s">
        <v>68</v>
      </c>
      <c r="B49" s="1" t="s">
        <v>16</v>
      </c>
      <c r="C49" s="1" t="s">
        <v>94</v>
      </c>
      <c r="D49" t="s">
        <v>69</v>
      </c>
      <c r="E49">
        <v>71069</v>
      </c>
      <c r="F49" t="s">
        <v>57</v>
      </c>
      <c r="G49">
        <v>7000</v>
      </c>
      <c r="H49" s="4">
        <v>6</v>
      </c>
      <c r="I49" s="5">
        <f t="shared" si="0"/>
        <v>0.2857142857142857</v>
      </c>
      <c r="J49" s="4">
        <v>6</v>
      </c>
      <c r="K49" s="4">
        <v>0</v>
      </c>
      <c r="L49" s="5">
        <f t="shared" si="1"/>
        <v>0</v>
      </c>
      <c r="M49" s="4">
        <v>0</v>
      </c>
      <c r="N49" s="4">
        <v>7</v>
      </c>
      <c r="O49" s="5">
        <f t="shared" si="2"/>
        <v>0.35</v>
      </c>
      <c r="P49" s="4">
        <v>7</v>
      </c>
      <c r="Q49" s="4">
        <v>1</v>
      </c>
      <c r="R49" s="4">
        <v>1</v>
      </c>
      <c r="S49" s="5">
        <f t="shared" si="3"/>
        <v>0.05</v>
      </c>
      <c r="T49" s="4">
        <v>0.5</v>
      </c>
      <c r="U49" s="4">
        <f t="shared" si="4"/>
        <v>0.85</v>
      </c>
    </row>
    <row r="50" spans="1:21" x14ac:dyDescent="0.25">
      <c r="A50" t="s">
        <v>68</v>
      </c>
      <c r="B50" s="1" t="s">
        <v>16</v>
      </c>
      <c r="C50" s="1" t="s">
        <v>94</v>
      </c>
      <c r="D50" t="s">
        <v>69</v>
      </c>
      <c r="E50">
        <v>71083</v>
      </c>
      <c r="F50" t="s">
        <v>57</v>
      </c>
      <c r="G50">
        <v>7000</v>
      </c>
      <c r="H50" s="4">
        <v>28</v>
      </c>
      <c r="I50" s="5">
        <f t="shared" si="0"/>
        <v>1.3333333333333333</v>
      </c>
      <c r="J50" s="4">
        <v>29</v>
      </c>
      <c r="K50" s="4">
        <v>41</v>
      </c>
      <c r="L50" s="5">
        <f t="shared" si="1"/>
        <v>1.9523809523809523</v>
      </c>
      <c r="M50" s="4">
        <v>67</v>
      </c>
      <c r="N50" s="4">
        <v>27</v>
      </c>
      <c r="O50" s="5">
        <f t="shared" si="2"/>
        <v>1.35</v>
      </c>
      <c r="P50" s="4">
        <v>28</v>
      </c>
      <c r="Q50" s="4">
        <v>32</v>
      </c>
      <c r="R50" s="4">
        <v>54</v>
      </c>
      <c r="S50" s="5">
        <f t="shared" si="3"/>
        <v>1.6</v>
      </c>
      <c r="T50" s="4">
        <v>4</v>
      </c>
      <c r="U50" s="4">
        <f t="shared" si="4"/>
        <v>5.35</v>
      </c>
    </row>
    <row r="51" spans="1:21" x14ac:dyDescent="0.25">
      <c r="A51" t="s">
        <v>68</v>
      </c>
      <c r="B51" s="1" t="s">
        <v>17</v>
      </c>
      <c r="C51" s="1" t="s">
        <v>94</v>
      </c>
      <c r="D51" t="s">
        <v>69</v>
      </c>
      <c r="E51">
        <v>71088</v>
      </c>
      <c r="F51" t="s">
        <v>57</v>
      </c>
      <c r="G51">
        <v>7000</v>
      </c>
      <c r="H51" s="4">
        <v>10</v>
      </c>
      <c r="I51" s="5">
        <f t="shared" si="0"/>
        <v>0.47619047619047616</v>
      </c>
      <c r="J51" s="4">
        <v>10</v>
      </c>
      <c r="K51" s="4">
        <v>6</v>
      </c>
      <c r="L51" s="5">
        <f t="shared" si="1"/>
        <v>0.2857142857142857</v>
      </c>
      <c r="M51" s="4">
        <v>6</v>
      </c>
      <c r="N51" s="4">
        <v>9</v>
      </c>
      <c r="O51" s="5">
        <f t="shared" si="2"/>
        <v>0.45</v>
      </c>
      <c r="P51" s="4">
        <v>9</v>
      </c>
      <c r="Q51" s="4">
        <v>7</v>
      </c>
      <c r="R51" s="4">
        <v>8</v>
      </c>
      <c r="S51" s="5">
        <f t="shared" si="3"/>
        <v>0.35</v>
      </c>
      <c r="T51" s="4">
        <v>0.8</v>
      </c>
      <c r="U51" s="4">
        <f t="shared" si="4"/>
        <v>1.25</v>
      </c>
    </row>
    <row r="52" spans="1:21" x14ac:dyDescent="0.25">
      <c r="A52" t="s">
        <v>68</v>
      </c>
      <c r="B52" s="1" t="s">
        <v>17</v>
      </c>
      <c r="C52" s="1" t="s">
        <v>94</v>
      </c>
      <c r="D52" t="s">
        <v>69</v>
      </c>
      <c r="E52">
        <v>71093</v>
      </c>
      <c r="F52" t="s">
        <v>57</v>
      </c>
      <c r="G52">
        <v>7000</v>
      </c>
      <c r="H52" s="4">
        <v>6</v>
      </c>
      <c r="I52" s="5">
        <f t="shared" si="0"/>
        <v>0.2857142857142857</v>
      </c>
      <c r="J52" s="4">
        <v>6</v>
      </c>
      <c r="K52" s="4">
        <v>1</v>
      </c>
      <c r="L52" s="5">
        <f t="shared" si="1"/>
        <v>4.7619047619047616E-2</v>
      </c>
      <c r="M52" s="4">
        <v>1</v>
      </c>
      <c r="N52" s="4">
        <v>4</v>
      </c>
      <c r="O52" s="5">
        <f t="shared" si="2"/>
        <v>0.2</v>
      </c>
      <c r="P52" s="4">
        <v>4</v>
      </c>
      <c r="Q52" s="4">
        <v>1</v>
      </c>
      <c r="R52" s="4">
        <v>1</v>
      </c>
      <c r="S52" s="5">
        <f t="shared" si="3"/>
        <v>0.05</v>
      </c>
      <c r="T52" s="4">
        <v>0.5</v>
      </c>
      <c r="U52" s="4">
        <f t="shared" si="4"/>
        <v>0.7</v>
      </c>
    </row>
    <row r="53" spans="1:21" x14ac:dyDescent="0.25">
      <c r="A53" t="s">
        <v>68</v>
      </c>
      <c r="B53" s="1" t="s">
        <v>17</v>
      </c>
      <c r="C53" s="1" t="s">
        <v>94</v>
      </c>
      <c r="D53" t="s">
        <v>69</v>
      </c>
      <c r="E53">
        <v>71101</v>
      </c>
      <c r="F53" t="s">
        <v>57</v>
      </c>
      <c r="G53">
        <v>7000</v>
      </c>
      <c r="H53" s="4">
        <v>11</v>
      </c>
      <c r="I53" s="5">
        <f t="shared" si="0"/>
        <v>0.52380952380952384</v>
      </c>
      <c r="J53" s="4">
        <v>11</v>
      </c>
      <c r="K53" s="4">
        <v>4</v>
      </c>
      <c r="L53" s="5">
        <f t="shared" si="1"/>
        <v>0.19047619047619047</v>
      </c>
      <c r="M53" s="4">
        <v>4</v>
      </c>
      <c r="N53" s="4">
        <v>15</v>
      </c>
      <c r="O53" s="5">
        <f t="shared" si="2"/>
        <v>0.75</v>
      </c>
      <c r="P53" s="4">
        <v>15</v>
      </c>
      <c r="Q53" s="4">
        <v>3</v>
      </c>
      <c r="R53" s="4">
        <v>3</v>
      </c>
      <c r="S53" s="5">
        <f t="shared" si="3"/>
        <v>0.15</v>
      </c>
      <c r="T53" s="4">
        <v>0.8</v>
      </c>
      <c r="U53" s="4">
        <f t="shared" si="4"/>
        <v>1.55</v>
      </c>
    </row>
    <row r="54" spans="1:21" x14ac:dyDescent="0.25">
      <c r="A54" t="s">
        <v>61</v>
      </c>
      <c r="B54" s="1" t="s">
        <v>21</v>
      </c>
      <c r="C54" s="1" t="s">
        <v>94</v>
      </c>
      <c r="D54" t="s">
        <v>62</v>
      </c>
      <c r="E54">
        <v>71106</v>
      </c>
      <c r="F54" t="s">
        <v>57</v>
      </c>
      <c r="G54">
        <v>7000</v>
      </c>
      <c r="H54" s="4">
        <v>21</v>
      </c>
      <c r="I54" s="5">
        <f t="shared" si="0"/>
        <v>1</v>
      </c>
      <c r="J54" s="4">
        <v>24</v>
      </c>
      <c r="K54" s="4">
        <v>13</v>
      </c>
      <c r="L54" s="5">
        <f t="shared" si="1"/>
        <v>0.61904761904761907</v>
      </c>
      <c r="M54" s="4">
        <v>16</v>
      </c>
      <c r="N54" s="4">
        <v>18</v>
      </c>
      <c r="O54" s="5">
        <f t="shared" si="2"/>
        <v>0.9</v>
      </c>
      <c r="P54" s="4">
        <v>24</v>
      </c>
      <c r="Q54" s="4">
        <v>7</v>
      </c>
      <c r="R54" s="4">
        <v>7</v>
      </c>
      <c r="S54" s="5">
        <f t="shared" si="3"/>
        <v>0.35</v>
      </c>
      <c r="T54" s="4">
        <v>0.4</v>
      </c>
      <c r="U54" s="4">
        <f t="shared" si="4"/>
        <v>1.3</v>
      </c>
    </row>
    <row r="55" spans="1:21" x14ac:dyDescent="0.25">
      <c r="A55" t="s">
        <v>68</v>
      </c>
      <c r="B55" s="1" t="s">
        <v>17</v>
      </c>
      <c r="C55" s="1" t="s">
        <v>94</v>
      </c>
      <c r="D55" t="s">
        <v>69</v>
      </c>
      <c r="E55">
        <v>71111</v>
      </c>
      <c r="F55" t="s">
        <v>57</v>
      </c>
      <c r="G55">
        <v>7000</v>
      </c>
      <c r="H55" s="4">
        <v>11</v>
      </c>
      <c r="I55" s="5">
        <f t="shared" si="0"/>
        <v>0.52380952380952384</v>
      </c>
      <c r="J55" s="4">
        <v>11</v>
      </c>
      <c r="K55" s="4">
        <v>5</v>
      </c>
      <c r="L55" s="5">
        <f t="shared" si="1"/>
        <v>0.23809523809523808</v>
      </c>
      <c r="M55" s="4">
        <v>5</v>
      </c>
      <c r="N55" s="4">
        <v>8</v>
      </c>
      <c r="O55" s="5">
        <f t="shared" si="2"/>
        <v>0.4</v>
      </c>
      <c r="P55" s="4">
        <v>8</v>
      </c>
      <c r="Q55" s="4">
        <v>4</v>
      </c>
      <c r="R55" s="4">
        <v>4</v>
      </c>
      <c r="S55" s="5">
        <f t="shared" si="3"/>
        <v>0.2</v>
      </c>
      <c r="T55" s="4">
        <v>0.7</v>
      </c>
      <c r="U55" s="4">
        <f t="shared" si="4"/>
        <v>1.1000000000000001</v>
      </c>
    </row>
    <row r="56" spans="1:21" x14ac:dyDescent="0.25">
      <c r="A56" t="s">
        <v>68</v>
      </c>
      <c r="B56" s="1" t="s">
        <v>16</v>
      </c>
      <c r="C56" s="1" t="s">
        <v>94</v>
      </c>
      <c r="D56" t="s">
        <v>69</v>
      </c>
      <c r="E56">
        <v>71116</v>
      </c>
      <c r="F56" t="s">
        <v>57</v>
      </c>
      <c r="G56">
        <v>7000</v>
      </c>
      <c r="H56" s="4">
        <v>2</v>
      </c>
      <c r="I56" s="5">
        <f t="shared" si="0"/>
        <v>9.5238095238095233E-2</v>
      </c>
      <c r="J56" s="4">
        <v>2</v>
      </c>
      <c r="K56" s="4">
        <v>0</v>
      </c>
      <c r="L56" s="5">
        <f t="shared" si="1"/>
        <v>0</v>
      </c>
      <c r="M56" s="4">
        <v>0</v>
      </c>
      <c r="N56" s="4">
        <v>3</v>
      </c>
      <c r="O56" s="5">
        <f t="shared" si="2"/>
        <v>0.15</v>
      </c>
      <c r="P56" s="4">
        <v>4</v>
      </c>
      <c r="Q56" s="4">
        <v>0</v>
      </c>
      <c r="R56" s="4">
        <v>0</v>
      </c>
      <c r="S56" s="5">
        <f t="shared" si="3"/>
        <v>0</v>
      </c>
      <c r="T56" s="4">
        <v>1.5</v>
      </c>
      <c r="U56" s="4">
        <f t="shared" si="4"/>
        <v>1.65</v>
      </c>
    </row>
    <row r="57" spans="1:21" x14ac:dyDescent="0.25">
      <c r="A57" t="s">
        <v>68</v>
      </c>
      <c r="B57" s="1" t="s">
        <v>16</v>
      </c>
      <c r="C57" s="1" t="s">
        <v>94</v>
      </c>
      <c r="D57" t="s">
        <v>69</v>
      </c>
      <c r="E57">
        <v>71120</v>
      </c>
      <c r="F57" t="s">
        <v>57</v>
      </c>
      <c r="G57">
        <v>7000</v>
      </c>
      <c r="H57" s="4">
        <v>1</v>
      </c>
      <c r="I57" s="5">
        <f t="shared" si="0"/>
        <v>4.7619047619047616E-2</v>
      </c>
      <c r="J57" s="4">
        <v>1</v>
      </c>
      <c r="K57" s="4">
        <v>0</v>
      </c>
      <c r="L57" s="5">
        <f t="shared" si="1"/>
        <v>0</v>
      </c>
      <c r="M57" s="4">
        <v>0</v>
      </c>
      <c r="N57" s="4">
        <v>2</v>
      </c>
      <c r="O57" s="5">
        <f t="shared" si="2"/>
        <v>0.1</v>
      </c>
      <c r="P57" s="4">
        <v>2</v>
      </c>
      <c r="Q57" s="4">
        <v>0</v>
      </c>
      <c r="R57" s="4">
        <v>0</v>
      </c>
      <c r="S57" s="5">
        <f t="shared" si="3"/>
        <v>0</v>
      </c>
      <c r="T57" s="4">
        <v>0.1</v>
      </c>
      <c r="U57" s="4">
        <f t="shared" si="4"/>
        <v>0.2</v>
      </c>
    </row>
    <row r="58" spans="1:21" x14ac:dyDescent="0.25">
      <c r="A58" t="s">
        <v>68</v>
      </c>
      <c r="B58" s="1" t="s">
        <v>26</v>
      </c>
      <c r="C58" s="1" t="s">
        <v>94</v>
      </c>
      <c r="D58" t="s">
        <v>69</v>
      </c>
      <c r="E58">
        <v>71126</v>
      </c>
      <c r="F58" t="s">
        <v>57</v>
      </c>
      <c r="G58">
        <v>7000</v>
      </c>
      <c r="H58" s="4">
        <v>3</v>
      </c>
      <c r="I58" s="5">
        <f t="shared" si="0"/>
        <v>0.14285714285714285</v>
      </c>
      <c r="J58" s="4">
        <v>3</v>
      </c>
      <c r="K58" s="4">
        <v>1</v>
      </c>
      <c r="L58" s="5">
        <f t="shared" si="1"/>
        <v>4.7619047619047616E-2</v>
      </c>
      <c r="M58" s="4">
        <v>1</v>
      </c>
      <c r="N58" s="4">
        <v>4</v>
      </c>
      <c r="O58" s="5">
        <f t="shared" si="2"/>
        <v>0.2</v>
      </c>
      <c r="P58" s="4">
        <v>4</v>
      </c>
      <c r="Q58" s="4">
        <v>3</v>
      </c>
      <c r="R58" s="4">
        <v>3</v>
      </c>
      <c r="S58" s="5">
        <f t="shared" si="3"/>
        <v>0.15</v>
      </c>
      <c r="T58" s="4">
        <v>0.6</v>
      </c>
      <c r="U58" s="4">
        <f t="shared" si="4"/>
        <v>0.8</v>
      </c>
    </row>
    <row r="59" spans="1:21" x14ac:dyDescent="0.25">
      <c r="A59" t="s">
        <v>68</v>
      </c>
      <c r="B59" s="1" t="s">
        <v>26</v>
      </c>
      <c r="C59" s="1" t="s">
        <v>94</v>
      </c>
      <c r="D59" t="s">
        <v>69</v>
      </c>
      <c r="E59">
        <v>71131</v>
      </c>
      <c r="F59" t="s">
        <v>57</v>
      </c>
      <c r="G59">
        <v>7000</v>
      </c>
      <c r="H59" s="4">
        <v>1</v>
      </c>
      <c r="I59" s="5">
        <f t="shared" si="0"/>
        <v>4.7619047619047616E-2</v>
      </c>
      <c r="J59" s="4">
        <v>1</v>
      </c>
      <c r="K59" s="4">
        <v>0</v>
      </c>
      <c r="L59" s="5">
        <f t="shared" si="1"/>
        <v>0</v>
      </c>
      <c r="M59" s="4">
        <v>0</v>
      </c>
      <c r="N59" s="4">
        <v>1</v>
      </c>
      <c r="O59" s="5">
        <f t="shared" si="2"/>
        <v>0.05</v>
      </c>
      <c r="P59" s="4">
        <v>1</v>
      </c>
      <c r="Q59" s="4">
        <v>0</v>
      </c>
      <c r="R59" s="4">
        <v>0</v>
      </c>
      <c r="S59" s="5">
        <f t="shared" si="3"/>
        <v>0</v>
      </c>
      <c r="T59" s="4">
        <v>0.7</v>
      </c>
      <c r="U59" s="4">
        <f t="shared" si="4"/>
        <v>0.75</v>
      </c>
    </row>
    <row r="60" spans="1:21" x14ac:dyDescent="0.25">
      <c r="A60" t="s">
        <v>68</v>
      </c>
      <c r="B60" s="1" t="s">
        <v>16</v>
      </c>
      <c r="C60" s="1" t="s">
        <v>94</v>
      </c>
      <c r="D60" t="s">
        <v>69</v>
      </c>
      <c r="E60">
        <v>71134</v>
      </c>
      <c r="F60" t="s">
        <v>57</v>
      </c>
      <c r="G60">
        <v>7000</v>
      </c>
      <c r="H60" s="4">
        <v>0</v>
      </c>
      <c r="I60" s="5">
        <f t="shared" si="0"/>
        <v>0</v>
      </c>
      <c r="J60" s="4">
        <v>0</v>
      </c>
      <c r="K60" s="4">
        <v>0</v>
      </c>
      <c r="L60" s="5">
        <f t="shared" si="1"/>
        <v>0</v>
      </c>
      <c r="M60" s="4">
        <v>0</v>
      </c>
      <c r="N60" s="4">
        <v>0</v>
      </c>
      <c r="O60" s="5">
        <f t="shared" si="2"/>
        <v>0</v>
      </c>
      <c r="P60" s="4">
        <v>0</v>
      </c>
      <c r="Q60" s="4">
        <v>0</v>
      </c>
      <c r="R60" s="4">
        <v>0</v>
      </c>
      <c r="S60" s="5">
        <f t="shared" si="3"/>
        <v>0</v>
      </c>
      <c r="T60" s="4">
        <v>0.1</v>
      </c>
      <c r="U60" s="4">
        <f t="shared" si="4"/>
        <v>0.1</v>
      </c>
    </row>
    <row r="61" spans="1:21" x14ac:dyDescent="0.25">
      <c r="A61" t="s">
        <v>68</v>
      </c>
      <c r="B61" s="1" t="s">
        <v>16</v>
      </c>
      <c r="C61" s="1" t="s">
        <v>94</v>
      </c>
      <c r="D61" t="s">
        <v>69</v>
      </c>
      <c r="E61">
        <v>71139</v>
      </c>
      <c r="F61" t="s">
        <v>57</v>
      </c>
      <c r="G61">
        <v>7000</v>
      </c>
      <c r="H61" s="4">
        <v>6</v>
      </c>
      <c r="I61" s="5">
        <f t="shared" si="0"/>
        <v>0.2857142857142857</v>
      </c>
      <c r="J61" s="4">
        <v>6</v>
      </c>
      <c r="K61" s="4">
        <v>8</v>
      </c>
      <c r="L61" s="5">
        <f t="shared" si="1"/>
        <v>0.38095238095238093</v>
      </c>
      <c r="M61" s="4">
        <v>14</v>
      </c>
      <c r="N61" s="4">
        <v>6</v>
      </c>
      <c r="O61" s="5">
        <f t="shared" si="2"/>
        <v>0.3</v>
      </c>
      <c r="P61" s="4">
        <v>6</v>
      </c>
      <c r="Q61" s="4">
        <v>10</v>
      </c>
      <c r="R61" s="4">
        <v>18</v>
      </c>
      <c r="S61" s="5">
        <f t="shared" si="3"/>
        <v>0.5</v>
      </c>
      <c r="T61" s="4">
        <v>0.9</v>
      </c>
      <c r="U61" s="4">
        <f t="shared" si="4"/>
        <v>1.2</v>
      </c>
    </row>
    <row r="62" spans="1:21" x14ac:dyDescent="0.25">
      <c r="A62" t="s">
        <v>60</v>
      </c>
      <c r="B62" s="1" t="s">
        <v>19</v>
      </c>
      <c r="C62" s="1" t="s">
        <v>94</v>
      </c>
      <c r="D62" t="s">
        <v>62</v>
      </c>
      <c r="E62">
        <v>71144</v>
      </c>
      <c r="F62" t="s">
        <v>57</v>
      </c>
      <c r="G62">
        <v>7000</v>
      </c>
      <c r="H62" s="4">
        <v>3</v>
      </c>
      <c r="I62" s="5">
        <f t="shared" si="0"/>
        <v>0.14285714285714285</v>
      </c>
      <c r="J62" s="4">
        <v>4</v>
      </c>
      <c r="K62" s="4">
        <v>11</v>
      </c>
      <c r="L62" s="5">
        <f t="shared" si="1"/>
        <v>0.52380952380952384</v>
      </c>
      <c r="M62" s="4">
        <v>12</v>
      </c>
      <c r="N62" s="4">
        <v>8</v>
      </c>
      <c r="O62" s="5">
        <f t="shared" si="2"/>
        <v>0.4</v>
      </c>
      <c r="P62" s="4">
        <v>8</v>
      </c>
      <c r="Q62" s="4">
        <v>8</v>
      </c>
      <c r="R62" s="4">
        <v>11</v>
      </c>
      <c r="S62" s="5">
        <f t="shared" si="3"/>
        <v>0.4</v>
      </c>
      <c r="T62" s="4">
        <v>0.4</v>
      </c>
      <c r="U62" s="4">
        <f t="shared" si="4"/>
        <v>0.8</v>
      </c>
    </row>
    <row r="63" spans="1:21" x14ac:dyDescent="0.25">
      <c r="A63" t="s">
        <v>68</v>
      </c>
      <c r="B63" s="1" t="s">
        <v>26</v>
      </c>
      <c r="C63" s="1" t="s">
        <v>94</v>
      </c>
      <c r="D63" t="s">
        <v>69</v>
      </c>
      <c r="E63">
        <v>71149</v>
      </c>
      <c r="F63" t="s">
        <v>57</v>
      </c>
      <c r="G63">
        <v>7000</v>
      </c>
      <c r="H63" s="4">
        <v>2</v>
      </c>
      <c r="I63" s="5">
        <f t="shared" si="0"/>
        <v>9.5238095238095233E-2</v>
      </c>
      <c r="J63" s="4">
        <v>2</v>
      </c>
      <c r="K63" s="4">
        <v>0</v>
      </c>
      <c r="L63" s="5">
        <f t="shared" si="1"/>
        <v>0</v>
      </c>
      <c r="M63" s="4">
        <v>0</v>
      </c>
      <c r="N63" s="4">
        <v>3</v>
      </c>
      <c r="O63" s="5">
        <f t="shared" si="2"/>
        <v>0.15</v>
      </c>
      <c r="P63" s="4">
        <v>4</v>
      </c>
      <c r="Q63" s="4">
        <v>1</v>
      </c>
      <c r="R63" s="4">
        <v>1</v>
      </c>
      <c r="S63" s="5">
        <f t="shared" si="3"/>
        <v>0.05</v>
      </c>
      <c r="T63" s="4">
        <v>0.9</v>
      </c>
      <c r="U63" s="4">
        <f t="shared" si="4"/>
        <v>1.05</v>
      </c>
    </row>
    <row r="64" spans="1:21" x14ac:dyDescent="0.25">
      <c r="A64" t="s">
        <v>68</v>
      </c>
      <c r="B64" s="1" t="s">
        <v>16</v>
      </c>
      <c r="C64" s="1" t="s">
        <v>94</v>
      </c>
      <c r="D64" t="s">
        <v>69</v>
      </c>
      <c r="E64">
        <v>71154</v>
      </c>
      <c r="F64" t="s">
        <v>57</v>
      </c>
      <c r="G64">
        <v>7000</v>
      </c>
      <c r="H64" s="4">
        <v>4</v>
      </c>
      <c r="I64" s="5">
        <f t="shared" si="0"/>
        <v>0.19047619047619047</v>
      </c>
      <c r="J64" s="4">
        <v>5</v>
      </c>
      <c r="K64" s="4">
        <v>3</v>
      </c>
      <c r="L64" s="5">
        <f t="shared" si="1"/>
        <v>0.14285714285714285</v>
      </c>
      <c r="M64" s="4">
        <v>3</v>
      </c>
      <c r="N64" s="4">
        <v>4</v>
      </c>
      <c r="O64" s="5">
        <f t="shared" si="2"/>
        <v>0.2</v>
      </c>
      <c r="P64" s="4">
        <v>5</v>
      </c>
      <c r="Q64" s="4">
        <v>2</v>
      </c>
      <c r="R64" s="4">
        <v>2</v>
      </c>
      <c r="S64" s="5">
        <f t="shared" si="3"/>
        <v>0.1</v>
      </c>
      <c r="T64" s="4">
        <v>1.1000000000000001</v>
      </c>
      <c r="U64" s="4">
        <f t="shared" si="4"/>
        <v>1.3</v>
      </c>
    </row>
    <row r="65" spans="1:21" x14ac:dyDescent="0.25">
      <c r="A65" t="s">
        <v>68</v>
      </c>
      <c r="B65" s="1" t="s">
        <v>16</v>
      </c>
      <c r="C65" s="1" t="s">
        <v>94</v>
      </c>
      <c r="D65" t="s">
        <v>69</v>
      </c>
      <c r="E65">
        <v>71155</v>
      </c>
      <c r="F65" t="s">
        <v>57</v>
      </c>
      <c r="G65">
        <v>7000</v>
      </c>
      <c r="H65" s="4">
        <v>1</v>
      </c>
      <c r="I65" s="5">
        <f t="shared" si="0"/>
        <v>4.7619047619047616E-2</v>
      </c>
      <c r="J65" s="4">
        <v>1</v>
      </c>
      <c r="K65" s="4">
        <v>1</v>
      </c>
      <c r="L65" s="5">
        <f t="shared" si="1"/>
        <v>4.7619047619047616E-2</v>
      </c>
      <c r="M65" s="4">
        <v>1</v>
      </c>
      <c r="N65" s="4">
        <v>2</v>
      </c>
      <c r="O65" s="5">
        <f t="shared" si="2"/>
        <v>0.1</v>
      </c>
      <c r="P65" s="4">
        <v>3</v>
      </c>
      <c r="Q65" s="4">
        <v>0</v>
      </c>
      <c r="R65" s="4">
        <v>0</v>
      </c>
      <c r="S65" s="5">
        <f t="shared" si="3"/>
        <v>0</v>
      </c>
      <c r="T65" s="4">
        <v>0.1</v>
      </c>
      <c r="U65" s="4">
        <f t="shared" si="4"/>
        <v>0.2</v>
      </c>
    </row>
    <row r="66" spans="1:21" x14ac:dyDescent="0.25">
      <c r="A66" t="s">
        <v>68</v>
      </c>
      <c r="B66" s="1" t="s">
        <v>16</v>
      </c>
      <c r="C66" s="1" t="s">
        <v>94</v>
      </c>
      <c r="D66" t="s">
        <v>69</v>
      </c>
      <c r="E66">
        <v>71157</v>
      </c>
      <c r="F66" t="s">
        <v>57</v>
      </c>
      <c r="G66">
        <v>7000</v>
      </c>
      <c r="H66" s="4">
        <v>1</v>
      </c>
      <c r="I66" s="5">
        <f t="shared" ref="I66:I129" si="5">H66/21</f>
        <v>4.7619047619047616E-2</v>
      </c>
      <c r="J66" s="4">
        <v>1</v>
      </c>
      <c r="K66" s="4">
        <v>14</v>
      </c>
      <c r="L66" s="5">
        <f t="shared" ref="L66:L129" si="6">K66/21</f>
        <v>0.66666666666666663</v>
      </c>
      <c r="M66" s="4">
        <v>29</v>
      </c>
      <c r="N66" s="4">
        <v>1</v>
      </c>
      <c r="O66" s="5">
        <f t="shared" ref="O66:O129" si="7">N66/20</f>
        <v>0.05</v>
      </c>
      <c r="P66" s="4">
        <v>1</v>
      </c>
      <c r="Q66" s="4">
        <v>16</v>
      </c>
      <c r="R66" s="4">
        <v>34</v>
      </c>
      <c r="S66" s="5">
        <f t="shared" ref="S66:S129" si="8">Q66/20</f>
        <v>0.8</v>
      </c>
      <c r="T66" s="4">
        <v>0.1</v>
      </c>
      <c r="U66" s="4">
        <f t="shared" si="4"/>
        <v>0.15000000000000002</v>
      </c>
    </row>
    <row r="67" spans="1:21" x14ac:dyDescent="0.25">
      <c r="A67" t="s">
        <v>58</v>
      </c>
      <c r="B67" s="1" t="s">
        <v>26</v>
      </c>
      <c r="C67" s="1" t="s">
        <v>94</v>
      </c>
      <c r="D67" t="s">
        <v>72</v>
      </c>
      <c r="E67">
        <v>71159</v>
      </c>
      <c r="F67" t="s">
        <v>57</v>
      </c>
      <c r="G67">
        <v>7000</v>
      </c>
      <c r="H67" s="4">
        <v>4</v>
      </c>
      <c r="I67" s="5">
        <f t="shared" si="5"/>
        <v>0.19047619047619047</v>
      </c>
      <c r="J67" s="4">
        <v>4</v>
      </c>
      <c r="K67" s="4">
        <v>4</v>
      </c>
      <c r="L67" s="5">
        <f t="shared" si="6"/>
        <v>0.19047619047619047</v>
      </c>
      <c r="M67" s="4">
        <v>10</v>
      </c>
      <c r="N67" s="4">
        <v>1</v>
      </c>
      <c r="O67" s="5">
        <f t="shared" si="7"/>
        <v>0.05</v>
      </c>
      <c r="P67" s="4">
        <v>1</v>
      </c>
      <c r="Q67" s="4">
        <v>7</v>
      </c>
      <c r="R67" s="4">
        <v>12</v>
      </c>
      <c r="S67" s="5">
        <f t="shared" si="8"/>
        <v>0.35</v>
      </c>
      <c r="T67" s="4">
        <v>0.5</v>
      </c>
      <c r="U67" s="4">
        <f t="shared" ref="U67:U130" si="9">T67+O67</f>
        <v>0.55000000000000004</v>
      </c>
    </row>
    <row r="68" spans="1:21" x14ac:dyDescent="0.25">
      <c r="A68" t="s">
        <v>61</v>
      </c>
      <c r="B68" s="1" t="s">
        <v>20</v>
      </c>
      <c r="C68" s="1" t="s">
        <v>94</v>
      </c>
      <c r="D68" t="s">
        <v>62</v>
      </c>
      <c r="E68">
        <v>71229</v>
      </c>
      <c r="F68" t="s">
        <v>57</v>
      </c>
      <c r="G68">
        <v>7000</v>
      </c>
      <c r="H68" s="4">
        <v>36</v>
      </c>
      <c r="I68" s="5">
        <f t="shared" si="5"/>
        <v>1.7142857142857142</v>
      </c>
      <c r="J68" s="4">
        <v>38</v>
      </c>
      <c r="K68" s="4">
        <v>39</v>
      </c>
      <c r="L68" s="5">
        <f t="shared" si="6"/>
        <v>1.8571428571428572</v>
      </c>
      <c r="M68" s="4">
        <v>641</v>
      </c>
      <c r="N68" s="4">
        <v>22</v>
      </c>
      <c r="O68" s="5">
        <f t="shared" si="7"/>
        <v>1.1000000000000001</v>
      </c>
      <c r="P68" s="4">
        <v>22</v>
      </c>
      <c r="Q68" s="4">
        <v>35</v>
      </c>
      <c r="R68" s="4">
        <v>661</v>
      </c>
      <c r="S68" s="5">
        <f t="shared" si="8"/>
        <v>1.75</v>
      </c>
      <c r="T68" s="4">
        <v>3.4</v>
      </c>
      <c r="U68" s="4">
        <f t="shared" si="9"/>
        <v>4.5</v>
      </c>
    </row>
    <row r="69" spans="1:21" x14ac:dyDescent="0.25">
      <c r="A69" t="s">
        <v>66</v>
      </c>
      <c r="B69" s="1" t="s">
        <v>23</v>
      </c>
      <c r="C69" s="1" t="s">
        <v>94</v>
      </c>
      <c r="D69" t="s">
        <v>67</v>
      </c>
      <c r="E69">
        <v>71254</v>
      </c>
      <c r="F69" t="s">
        <v>57</v>
      </c>
      <c r="G69">
        <v>7000</v>
      </c>
      <c r="H69" s="4">
        <v>46</v>
      </c>
      <c r="I69" s="5">
        <f t="shared" si="5"/>
        <v>2.1904761904761907</v>
      </c>
      <c r="J69" s="4">
        <v>51</v>
      </c>
      <c r="K69" s="4">
        <v>18</v>
      </c>
      <c r="L69" s="5">
        <f t="shared" si="6"/>
        <v>0.8571428571428571</v>
      </c>
      <c r="M69" s="4">
        <v>18</v>
      </c>
      <c r="N69" s="4">
        <v>44</v>
      </c>
      <c r="O69" s="5">
        <f t="shared" si="7"/>
        <v>2.2000000000000002</v>
      </c>
      <c r="P69" s="4">
        <v>45</v>
      </c>
      <c r="Q69" s="4">
        <v>11</v>
      </c>
      <c r="R69" s="4">
        <v>18</v>
      </c>
      <c r="S69" s="5">
        <f t="shared" si="8"/>
        <v>0.55000000000000004</v>
      </c>
      <c r="T69" s="4">
        <v>2</v>
      </c>
      <c r="U69" s="4">
        <f t="shared" si="9"/>
        <v>4.2</v>
      </c>
    </row>
    <row r="70" spans="1:21" x14ac:dyDescent="0.25">
      <c r="A70" t="s">
        <v>61</v>
      </c>
      <c r="B70" s="1" t="s">
        <v>21</v>
      </c>
      <c r="C70" s="1" t="s">
        <v>94</v>
      </c>
      <c r="D70" t="s">
        <v>62</v>
      </c>
      <c r="E70">
        <v>71263</v>
      </c>
      <c r="F70" t="s">
        <v>57</v>
      </c>
      <c r="G70">
        <v>7000</v>
      </c>
      <c r="H70" s="4">
        <v>23</v>
      </c>
      <c r="I70" s="5">
        <f t="shared" si="5"/>
        <v>1.0952380952380953</v>
      </c>
      <c r="J70" s="4">
        <v>23</v>
      </c>
      <c r="K70" s="4">
        <v>33</v>
      </c>
      <c r="L70" s="5">
        <f t="shared" si="6"/>
        <v>1.5714285714285714</v>
      </c>
      <c r="M70" s="4">
        <v>67</v>
      </c>
      <c r="N70" s="4">
        <v>19</v>
      </c>
      <c r="O70" s="5">
        <f t="shared" si="7"/>
        <v>0.95</v>
      </c>
      <c r="P70" s="4">
        <v>20</v>
      </c>
      <c r="Q70" s="4">
        <v>28</v>
      </c>
      <c r="R70" s="4">
        <v>62</v>
      </c>
      <c r="S70" s="5">
        <f t="shared" si="8"/>
        <v>1.4</v>
      </c>
      <c r="T70" s="4">
        <v>1.1000000000000001</v>
      </c>
      <c r="U70" s="4">
        <f t="shared" si="9"/>
        <v>2.0499999999999998</v>
      </c>
    </row>
    <row r="71" spans="1:21" x14ac:dyDescent="0.25">
      <c r="A71" t="s">
        <v>61</v>
      </c>
      <c r="B71" s="1" t="s">
        <v>21</v>
      </c>
      <c r="C71" s="1" t="s">
        <v>94</v>
      </c>
      <c r="D71" t="s">
        <v>62</v>
      </c>
      <c r="E71">
        <v>71272</v>
      </c>
      <c r="F71" t="s">
        <v>57</v>
      </c>
      <c r="G71">
        <v>7000</v>
      </c>
      <c r="H71" s="4">
        <v>20</v>
      </c>
      <c r="I71" s="5">
        <f t="shared" si="5"/>
        <v>0.95238095238095233</v>
      </c>
      <c r="J71" s="4">
        <v>20</v>
      </c>
      <c r="K71" s="4">
        <v>16</v>
      </c>
      <c r="L71" s="5">
        <f t="shared" si="6"/>
        <v>0.76190476190476186</v>
      </c>
      <c r="M71" s="4">
        <v>34</v>
      </c>
      <c r="N71" s="4">
        <v>27</v>
      </c>
      <c r="O71" s="5">
        <f t="shared" si="7"/>
        <v>1.35</v>
      </c>
      <c r="P71" s="4">
        <v>29</v>
      </c>
      <c r="Q71" s="4">
        <v>13</v>
      </c>
      <c r="R71" s="4">
        <v>27</v>
      </c>
      <c r="S71" s="5">
        <f t="shared" si="8"/>
        <v>0.65</v>
      </c>
      <c r="T71" s="4">
        <v>1.6</v>
      </c>
      <c r="U71" s="4">
        <f t="shared" si="9"/>
        <v>2.95</v>
      </c>
    </row>
    <row r="72" spans="1:21" x14ac:dyDescent="0.25">
      <c r="A72" t="s">
        <v>61</v>
      </c>
      <c r="B72" s="1" t="s">
        <v>20</v>
      </c>
      <c r="C72" s="1" t="s">
        <v>94</v>
      </c>
      <c r="D72" t="s">
        <v>62</v>
      </c>
      <c r="E72">
        <v>71277</v>
      </c>
      <c r="F72" t="s">
        <v>57</v>
      </c>
      <c r="G72">
        <v>7000</v>
      </c>
      <c r="H72" s="4">
        <v>12</v>
      </c>
      <c r="I72" s="5">
        <f t="shared" si="5"/>
        <v>0.5714285714285714</v>
      </c>
      <c r="J72" s="4">
        <v>13</v>
      </c>
      <c r="K72" s="4">
        <v>8</v>
      </c>
      <c r="L72" s="5">
        <f t="shared" si="6"/>
        <v>0.38095238095238093</v>
      </c>
      <c r="M72" s="4">
        <v>12</v>
      </c>
      <c r="N72" s="4">
        <v>16</v>
      </c>
      <c r="O72" s="5">
        <f t="shared" si="7"/>
        <v>0.8</v>
      </c>
      <c r="P72" s="4">
        <v>17</v>
      </c>
      <c r="Q72" s="4">
        <v>6</v>
      </c>
      <c r="R72" s="4">
        <v>10</v>
      </c>
      <c r="S72" s="5">
        <f t="shared" si="8"/>
        <v>0.3</v>
      </c>
      <c r="T72" s="4">
        <v>0.9</v>
      </c>
      <c r="U72" s="4">
        <f t="shared" si="9"/>
        <v>1.7000000000000002</v>
      </c>
    </row>
    <row r="73" spans="1:21" x14ac:dyDescent="0.25">
      <c r="A73" t="s">
        <v>71</v>
      </c>
      <c r="B73" s="1" t="s">
        <v>23</v>
      </c>
      <c r="C73" s="1" t="s">
        <v>94</v>
      </c>
      <c r="D73" t="s">
        <v>72</v>
      </c>
      <c r="E73">
        <v>71282</v>
      </c>
      <c r="F73" t="s">
        <v>57</v>
      </c>
      <c r="G73">
        <v>7000</v>
      </c>
      <c r="H73" s="4">
        <v>5</v>
      </c>
      <c r="I73" s="5">
        <f t="shared" si="5"/>
        <v>0.23809523809523808</v>
      </c>
      <c r="J73" s="4">
        <v>5</v>
      </c>
      <c r="K73" s="4">
        <v>3</v>
      </c>
      <c r="L73" s="5">
        <f t="shared" si="6"/>
        <v>0.14285714285714285</v>
      </c>
      <c r="M73" s="4">
        <v>3</v>
      </c>
      <c r="N73" s="4">
        <v>1</v>
      </c>
      <c r="O73" s="5">
        <f t="shared" si="7"/>
        <v>0.05</v>
      </c>
      <c r="P73" s="4">
        <v>1</v>
      </c>
      <c r="Q73" s="4">
        <v>2</v>
      </c>
      <c r="R73" s="4">
        <v>3</v>
      </c>
      <c r="S73" s="5">
        <f t="shared" si="8"/>
        <v>0.1</v>
      </c>
      <c r="T73" s="4">
        <v>2.8</v>
      </c>
      <c r="U73" s="4">
        <f t="shared" si="9"/>
        <v>2.8499999999999996</v>
      </c>
    </row>
    <row r="74" spans="1:21" x14ac:dyDescent="0.25">
      <c r="A74" t="s">
        <v>71</v>
      </c>
      <c r="B74" s="1" t="s">
        <v>23</v>
      </c>
      <c r="C74" s="1" t="s">
        <v>94</v>
      </c>
      <c r="D74" t="s">
        <v>72</v>
      </c>
      <c r="E74">
        <v>71287</v>
      </c>
      <c r="F74" t="s">
        <v>57</v>
      </c>
      <c r="G74">
        <v>7000</v>
      </c>
      <c r="H74" s="4">
        <v>8</v>
      </c>
      <c r="I74" s="5">
        <f t="shared" si="5"/>
        <v>0.38095238095238093</v>
      </c>
      <c r="J74" s="4">
        <v>9</v>
      </c>
      <c r="K74" s="4">
        <v>0</v>
      </c>
      <c r="L74" s="5">
        <f t="shared" si="6"/>
        <v>0</v>
      </c>
      <c r="M74" s="4">
        <v>0</v>
      </c>
      <c r="N74" s="4">
        <v>7</v>
      </c>
      <c r="O74" s="5">
        <f t="shared" si="7"/>
        <v>0.35</v>
      </c>
      <c r="P74" s="4">
        <v>7</v>
      </c>
      <c r="Q74" s="4">
        <v>0</v>
      </c>
      <c r="R74" s="4">
        <v>0</v>
      </c>
      <c r="S74" s="5">
        <f t="shared" si="8"/>
        <v>0</v>
      </c>
      <c r="T74" s="4">
        <v>0.2</v>
      </c>
      <c r="U74" s="4">
        <f t="shared" si="9"/>
        <v>0.55000000000000004</v>
      </c>
    </row>
    <row r="75" spans="1:21" x14ac:dyDescent="0.25">
      <c r="A75" t="s">
        <v>71</v>
      </c>
      <c r="B75" s="1" t="s">
        <v>23</v>
      </c>
      <c r="C75" s="1" t="s">
        <v>94</v>
      </c>
      <c r="D75" t="s">
        <v>72</v>
      </c>
      <c r="E75">
        <v>71292</v>
      </c>
      <c r="F75" t="s">
        <v>57</v>
      </c>
      <c r="G75">
        <v>7000</v>
      </c>
      <c r="H75" s="4">
        <v>0</v>
      </c>
      <c r="I75" s="5">
        <f t="shared" si="5"/>
        <v>0</v>
      </c>
      <c r="J75" s="4">
        <v>0</v>
      </c>
      <c r="K75" s="4">
        <v>12</v>
      </c>
      <c r="L75" s="5">
        <f t="shared" si="6"/>
        <v>0.5714285714285714</v>
      </c>
      <c r="M75" s="4">
        <v>25</v>
      </c>
      <c r="N75" s="4">
        <v>2</v>
      </c>
      <c r="O75" s="5">
        <f t="shared" si="7"/>
        <v>0.1</v>
      </c>
      <c r="P75" s="4">
        <v>2</v>
      </c>
      <c r="Q75" s="4">
        <v>7</v>
      </c>
      <c r="R75" s="4">
        <v>9</v>
      </c>
      <c r="S75" s="5">
        <f t="shared" si="8"/>
        <v>0.35</v>
      </c>
      <c r="T75" s="4">
        <v>0.8</v>
      </c>
      <c r="U75" s="4">
        <f t="shared" si="9"/>
        <v>0.9</v>
      </c>
    </row>
    <row r="76" spans="1:21" x14ac:dyDescent="0.25">
      <c r="A76" t="s">
        <v>71</v>
      </c>
      <c r="B76" s="1" t="s">
        <v>20</v>
      </c>
      <c r="C76" s="1" t="s">
        <v>94</v>
      </c>
      <c r="D76" t="s">
        <v>72</v>
      </c>
      <c r="E76">
        <v>71296</v>
      </c>
      <c r="F76" t="s">
        <v>57</v>
      </c>
      <c r="G76">
        <v>7000</v>
      </c>
      <c r="H76" s="4">
        <v>8</v>
      </c>
      <c r="I76" s="5">
        <f t="shared" si="5"/>
        <v>0.38095238095238093</v>
      </c>
      <c r="J76" s="4">
        <v>9</v>
      </c>
      <c r="K76" s="4">
        <v>6</v>
      </c>
      <c r="L76" s="5">
        <f t="shared" si="6"/>
        <v>0.2857142857142857</v>
      </c>
      <c r="M76" s="4">
        <v>6</v>
      </c>
      <c r="N76" s="4">
        <v>6</v>
      </c>
      <c r="O76" s="5">
        <f t="shared" si="7"/>
        <v>0.3</v>
      </c>
      <c r="P76" s="4">
        <v>6</v>
      </c>
      <c r="Q76" s="4">
        <v>7</v>
      </c>
      <c r="R76" s="4">
        <v>7</v>
      </c>
      <c r="S76" s="5">
        <f t="shared" si="8"/>
        <v>0.35</v>
      </c>
      <c r="T76" s="4">
        <v>0.2</v>
      </c>
      <c r="U76" s="4">
        <f t="shared" si="9"/>
        <v>0.5</v>
      </c>
    </row>
    <row r="77" spans="1:21" x14ac:dyDescent="0.25">
      <c r="A77" t="s">
        <v>71</v>
      </c>
      <c r="B77" s="1" t="s">
        <v>23</v>
      </c>
      <c r="C77" s="1" t="s">
        <v>94</v>
      </c>
      <c r="D77" t="s">
        <v>72</v>
      </c>
      <c r="E77">
        <v>71297</v>
      </c>
      <c r="F77" t="s">
        <v>57</v>
      </c>
      <c r="G77">
        <v>7000</v>
      </c>
      <c r="H77" s="4">
        <v>1</v>
      </c>
      <c r="I77" s="5">
        <f t="shared" si="5"/>
        <v>4.7619047619047616E-2</v>
      </c>
      <c r="J77" s="4">
        <v>1</v>
      </c>
      <c r="K77" s="4">
        <v>0</v>
      </c>
      <c r="L77" s="5">
        <f t="shared" si="6"/>
        <v>0</v>
      </c>
      <c r="M77" s="4">
        <v>0</v>
      </c>
      <c r="N77" s="4">
        <v>2</v>
      </c>
      <c r="O77" s="5">
        <f t="shared" si="7"/>
        <v>0.1</v>
      </c>
      <c r="P77" s="4">
        <v>2</v>
      </c>
      <c r="Q77" s="4">
        <v>0</v>
      </c>
      <c r="R77" s="4">
        <v>0</v>
      </c>
      <c r="S77" s="5">
        <f t="shared" si="8"/>
        <v>0</v>
      </c>
      <c r="T77" s="4">
        <v>0.1</v>
      </c>
      <c r="U77" s="4">
        <f t="shared" si="9"/>
        <v>0.2</v>
      </c>
    </row>
    <row r="78" spans="1:21" x14ac:dyDescent="0.25">
      <c r="A78" t="s">
        <v>71</v>
      </c>
      <c r="B78" s="1" t="s">
        <v>23</v>
      </c>
      <c r="C78" s="1" t="s">
        <v>94</v>
      </c>
      <c r="D78" t="s">
        <v>72</v>
      </c>
      <c r="E78">
        <v>71299</v>
      </c>
      <c r="F78" t="s">
        <v>57</v>
      </c>
      <c r="G78">
        <v>7000</v>
      </c>
      <c r="H78" s="4">
        <v>1</v>
      </c>
      <c r="I78" s="5">
        <f t="shared" si="5"/>
        <v>4.7619047619047616E-2</v>
      </c>
      <c r="J78" s="4">
        <v>1</v>
      </c>
      <c r="K78" s="4">
        <v>0</v>
      </c>
      <c r="L78" s="5">
        <f t="shared" si="6"/>
        <v>0</v>
      </c>
      <c r="M78" s="4">
        <v>0</v>
      </c>
      <c r="N78" s="4">
        <v>5</v>
      </c>
      <c r="O78" s="5">
        <f t="shared" si="7"/>
        <v>0.25</v>
      </c>
      <c r="P78" s="4">
        <v>5</v>
      </c>
      <c r="Q78" s="4">
        <v>0</v>
      </c>
      <c r="R78" s="4">
        <v>0</v>
      </c>
      <c r="S78" s="5">
        <f t="shared" si="8"/>
        <v>0</v>
      </c>
      <c r="T78" s="4">
        <v>0.9</v>
      </c>
      <c r="U78" s="4">
        <f t="shared" si="9"/>
        <v>1.1499999999999999</v>
      </c>
    </row>
    <row r="79" spans="1:21" x14ac:dyDescent="0.25">
      <c r="A79" t="s">
        <v>63</v>
      </c>
      <c r="B79" s="1" t="s">
        <v>5</v>
      </c>
      <c r="C79" s="1" t="s">
        <v>94</v>
      </c>
      <c r="D79" t="s">
        <v>64</v>
      </c>
      <c r="E79">
        <v>71332</v>
      </c>
      <c r="F79" t="s">
        <v>57</v>
      </c>
      <c r="G79">
        <v>7000</v>
      </c>
      <c r="H79" s="4">
        <v>31</v>
      </c>
      <c r="I79" s="5">
        <f t="shared" si="5"/>
        <v>1.4761904761904763</v>
      </c>
      <c r="J79" s="4">
        <v>32</v>
      </c>
      <c r="K79" s="4">
        <v>15</v>
      </c>
      <c r="L79" s="5">
        <f t="shared" si="6"/>
        <v>0.7142857142857143</v>
      </c>
      <c r="M79" s="4">
        <v>47</v>
      </c>
      <c r="N79" s="4">
        <v>30</v>
      </c>
      <c r="O79" s="5">
        <f t="shared" si="7"/>
        <v>1.5</v>
      </c>
      <c r="P79" s="4">
        <v>31</v>
      </c>
      <c r="Q79" s="4">
        <v>11</v>
      </c>
      <c r="R79" s="4">
        <v>40</v>
      </c>
      <c r="S79" s="5">
        <f t="shared" si="8"/>
        <v>0.55000000000000004</v>
      </c>
      <c r="T79" s="4">
        <v>1.5</v>
      </c>
      <c r="U79" s="4">
        <f t="shared" si="9"/>
        <v>3</v>
      </c>
    </row>
    <row r="80" spans="1:21" x14ac:dyDescent="0.25">
      <c r="A80" t="s">
        <v>63</v>
      </c>
      <c r="B80" s="1" t="s">
        <v>5</v>
      </c>
      <c r="C80" s="1" t="s">
        <v>94</v>
      </c>
      <c r="D80" t="s">
        <v>64</v>
      </c>
      <c r="E80">
        <v>71334</v>
      </c>
      <c r="F80" t="s">
        <v>57</v>
      </c>
      <c r="G80">
        <v>7000</v>
      </c>
      <c r="H80" s="4">
        <v>18</v>
      </c>
      <c r="I80" s="5">
        <f t="shared" si="5"/>
        <v>0.8571428571428571</v>
      </c>
      <c r="J80" s="4">
        <v>20</v>
      </c>
      <c r="K80" s="4">
        <v>5</v>
      </c>
      <c r="L80" s="5">
        <f t="shared" si="6"/>
        <v>0.23809523809523808</v>
      </c>
      <c r="M80" s="4">
        <v>5</v>
      </c>
      <c r="N80" s="4">
        <v>14</v>
      </c>
      <c r="O80" s="5">
        <f t="shared" si="7"/>
        <v>0.7</v>
      </c>
      <c r="P80" s="4">
        <v>17</v>
      </c>
      <c r="Q80" s="4">
        <v>1</v>
      </c>
      <c r="R80" s="4">
        <v>1</v>
      </c>
      <c r="S80" s="5">
        <f t="shared" si="8"/>
        <v>0.05</v>
      </c>
      <c r="T80" s="4">
        <v>0.7</v>
      </c>
      <c r="U80" s="4">
        <f t="shared" si="9"/>
        <v>1.4</v>
      </c>
    </row>
    <row r="81" spans="1:21" x14ac:dyDescent="0.25">
      <c r="A81" t="s">
        <v>63</v>
      </c>
      <c r="B81" s="1" t="s">
        <v>5</v>
      </c>
      <c r="C81" s="1" t="s">
        <v>94</v>
      </c>
      <c r="D81" t="s">
        <v>64</v>
      </c>
      <c r="E81">
        <v>71336</v>
      </c>
      <c r="F81" t="s">
        <v>57</v>
      </c>
      <c r="G81">
        <v>7000</v>
      </c>
      <c r="H81" s="4">
        <v>7</v>
      </c>
      <c r="I81" s="5">
        <f t="shared" si="5"/>
        <v>0.33333333333333331</v>
      </c>
      <c r="J81" s="4">
        <v>7</v>
      </c>
      <c r="K81" s="4">
        <v>2</v>
      </c>
      <c r="L81" s="5">
        <f t="shared" si="6"/>
        <v>9.5238095238095233E-2</v>
      </c>
      <c r="M81" s="4">
        <v>2</v>
      </c>
      <c r="N81" s="4">
        <v>10</v>
      </c>
      <c r="O81" s="5">
        <f t="shared" si="7"/>
        <v>0.5</v>
      </c>
      <c r="P81" s="4">
        <v>10</v>
      </c>
      <c r="Q81" s="4">
        <v>4</v>
      </c>
      <c r="R81" s="4">
        <v>5</v>
      </c>
      <c r="S81" s="5">
        <f t="shared" si="8"/>
        <v>0.2</v>
      </c>
      <c r="T81" s="4">
        <v>1.2</v>
      </c>
      <c r="U81" s="4">
        <f t="shared" si="9"/>
        <v>1.7</v>
      </c>
    </row>
    <row r="82" spans="1:21" x14ac:dyDescent="0.25">
      <c r="A82" t="s">
        <v>63</v>
      </c>
      <c r="B82" s="1" t="s">
        <v>4</v>
      </c>
      <c r="C82" s="1" t="s">
        <v>94</v>
      </c>
      <c r="D82" t="s">
        <v>64</v>
      </c>
      <c r="E82">
        <v>71364</v>
      </c>
      <c r="F82" t="s">
        <v>57</v>
      </c>
      <c r="G82">
        <v>7000</v>
      </c>
      <c r="H82" s="4">
        <v>34</v>
      </c>
      <c r="I82" s="5">
        <f t="shared" si="5"/>
        <v>1.6190476190476191</v>
      </c>
      <c r="J82" s="4">
        <v>35</v>
      </c>
      <c r="K82" s="4">
        <v>3</v>
      </c>
      <c r="L82" s="5">
        <f t="shared" si="6"/>
        <v>0.14285714285714285</v>
      </c>
      <c r="M82" s="4">
        <v>3</v>
      </c>
      <c r="N82" s="4">
        <v>42</v>
      </c>
      <c r="O82" s="5">
        <f t="shared" si="7"/>
        <v>2.1</v>
      </c>
      <c r="P82" s="4">
        <v>42</v>
      </c>
      <c r="Q82" s="4">
        <v>0</v>
      </c>
      <c r="R82" s="4">
        <v>0</v>
      </c>
      <c r="S82" s="5">
        <f t="shared" si="8"/>
        <v>0</v>
      </c>
      <c r="T82" s="4">
        <v>1.6</v>
      </c>
      <c r="U82" s="4">
        <f t="shared" si="9"/>
        <v>3.7</v>
      </c>
    </row>
    <row r="83" spans="1:21" x14ac:dyDescent="0.25">
      <c r="A83" t="s">
        <v>73</v>
      </c>
      <c r="B83" s="1" t="s">
        <v>24</v>
      </c>
      <c r="C83" s="1" t="s">
        <v>94</v>
      </c>
      <c r="D83" t="s">
        <v>75</v>
      </c>
      <c r="E83">
        <v>71384</v>
      </c>
      <c r="F83" t="s">
        <v>57</v>
      </c>
      <c r="G83">
        <v>7000</v>
      </c>
      <c r="H83" s="4">
        <v>21</v>
      </c>
      <c r="I83" s="5">
        <f t="shared" si="5"/>
        <v>1</v>
      </c>
      <c r="J83" s="4">
        <v>21</v>
      </c>
      <c r="K83" s="4">
        <v>7</v>
      </c>
      <c r="L83" s="5">
        <f t="shared" si="6"/>
        <v>0.33333333333333331</v>
      </c>
      <c r="M83" s="4">
        <v>7</v>
      </c>
      <c r="N83" s="4">
        <v>32</v>
      </c>
      <c r="O83" s="5">
        <f t="shared" si="7"/>
        <v>1.6</v>
      </c>
      <c r="P83" s="4">
        <v>32</v>
      </c>
      <c r="Q83" s="4">
        <v>10</v>
      </c>
      <c r="R83" s="4">
        <v>10</v>
      </c>
      <c r="S83" s="5">
        <f t="shared" si="8"/>
        <v>0.5</v>
      </c>
      <c r="T83" s="4">
        <v>1.5</v>
      </c>
      <c r="U83" s="4">
        <f t="shared" si="9"/>
        <v>3.1</v>
      </c>
    </row>
    <row r="84" spans="1:21" x14ac:dyDescent="0.25">
      <c r="A84" t="s">
        <v>63</v>
      </c>
      <c r="B84" s="1" t="s">
        <v>24</v>
      </c>
      <c r="C84" s="1" t="s">
        <v>94</v>
      </c>
      <c r="D84" t="s">
        <v>64</v>
      </c>
      <c r="E84">
        <v>71394</v>
      </c>
      <c r="F84" t="s">
        <v>57</v>
      </c>
      <c r="G84">
        <v>7000</v>
      </c>
      <c r="H84" s="4">
        <v>18</v>
      </c>
      <c r="I84" s="5">
        <f t="shared" si="5"/>
        <v>0.8571428571428571</v>
      </c>
      <c r="J84" s="4">
        <v>20</v>
      </c>
      <c r="K84" s="4">
        <v>13</v>
      </c>
      <c r="L84" s="5">
        <f t="shared" si="6"/>
        <v>0.61904761904761907</v>
      </c>
      <c r="M84" s="4">
        <v>13</v>
      </c>
      <c r="N84" s="4">
        <v>12</v>
      </c>
      <c r="O84" s="5">
        <f t="shared" si="7"/>
        <v>0.6</v>
      </c>
      <c r="P84" s="4">
        <v>13</v>
      </c>
      <c r="Q84" s="4">
        <v>13</v>
      </c>
      <c r="R84" s="4">
        <v>14</v>
      </c>
      <c r="S84" s="5">
        <f t="shared" si="8"/>
        <v>0.65</v>
      </c>
      <c r="T84" s="4">
        <v>0.5</v>
      </c>
      <c r="U84" s="4">
        <f t="shared" si="9"/>
        <v>1.1000000000000001</v>
      </c>
    </row>
    <row r="85" spans="1:21" x14ac:dyDescent="0.25">
      <c r="A85" t="s">
        <v>63</v>
      </c>
      <c r="B85" s="1" t="s">
        <v>4</v>
      </c>
      <c r="C85" s="1" t="s">
        <v>94</v>
      </c>
      <c r="D85" t="s">
        <v>64</v>
      </c>
      <c r="E85">
        <v>71397</v>
      </c>
      <c r="F85" t="s">
        <v>57</v>
      </c>
      <c r="G85">
        <v>7000</v>
      </c>
      <c r="H85" s="4">
        <v>5</v>
      </c>
      <c r="I85" s="5">
        <f t="shared" si="5"/>
        <v>0.23809523809523808</v>
      </c>
      <c r="J85" s="4">
        <v>5</v>
      </c>
      <c r="K85" s="4">
        <v>1</v>
      </c>
      <c r="L85" s="5">
        <f t="shared" si="6"/>
        <v>4.7619047619047616E-2</v>
      </c>
      <c r="M85" s="4">
        <v>1</v>
      </c>
      <c r="N85" s="4">
        <v>4</v>
      </c>
      <c r="O85" s="5">
        <f t="shared" si="7"/>
        <v>0.2</v>
      </c>
      <c r="P85" s="4">
        <v>4</v>
      </c>
      <c r="Q85" s="4">
        <v>0</v>
      </c>
      <c r="R85" s="4">
        <v>0</v>
      </c>
      <c r="S85" s="5">
        <f t="shared" si="8"/>
        <v>0</v>
      </c>
      <c r="T85" s="4">
        <v>0.5</v>
      </c>
      <c r="U85" s="4">
        <f t="shared" si="9"/>
        <v>0.7</v>
      </c>
    </row>
    <row r="86" spans="1:21" x14ac:dyDescent="0.25">
      <c r="A86" t="s">
        <v>63</v>
      </c>
      <c r="B86" s="1" t="s">
        <v>4</v>
      </c>
      <c r="C86" s="1" t="s">
        <v>94</v>
      </c>
      <c r="D86" t="s">
        <v>64</v>
      </c>
      <c r="E86">
        <v>71404</v>
      </c>
      <c r="F86" t="s">
        <v>57</v>
      </c>
      <c r="G86">
        <v>7000</v>
      </c>
      <c r="H86" s="4">
        <v>11</v>
      </c>
      <c r="I86" s="5">
        <f t="shared" si="5"/>
        <v>0.52380952380952384</v>
      </c>
      <c r="J86" s="4">
        <v>12</v>
      </c>
      <c r="K86" s="4">
        <v>1</v>
      </c>
      <c r="L86" s="5">
        <f t="shared" si="6"/>
        <v>4.7619047619047616E-2</v>
      </c>
      <c r="M86" s="4">
        <v>1</v>
      </c>
      <c r="N86" s="4">
        <v>10</v>
      </c>
      <c r="O86" s="5">
        <f t="shared" si="7"/>
        <v>0.5</v>
      </c>
      <c r="P86" s="4">
        <v>10</v>
      </c>
      <c r="Q86" s="4">
        <v>0</v>
      </c>
      <c r="R86" s="4">
        <v>0</v>
      </c>
      <c r="S86" s="5">
        <f t="shared" si="8"/>
        <v>0</v>
      </c>
      <c r="T86" s="4">
        <v>0.4</v>
      </c>
      <c r="U86" s="4">
        <f t="shared" si="9"/>
        <v>0.9</v>
      </c>
    </row>
    <row r="87" spans="1:21" x14ac:dyDescent="0.25">
      <c r="A87" t="s">
        <v>63</v>
      </c>
      <c r="B87" s="1" t="s">
        <v>4</v>
      </c>
      <c r="C87" s="1" t="s">
        <v>94</v>
      </c>
      <c r="D87" t="s">
        <v>64</v>
      </c>
      <c r="E87">
        <v>71409</v>
      </c>
      <c r="F87" t="s">
        <v>57</v>
      </c>
      <c r="G87">
        <v>7000</v>
      </c>
      <c r="H87" s="4">
        <v>11</v>
      </c>
      <c r="I87" s="5">
        <f t="shared" si="5"/>
        <v>0.52380952380952384</v>
      </c>
      <c r="J87" s="4">
        <v>13</v>
      </c>
      <c r="K87" s="4">
        <v>1</v>
      </c>
      <c r="L87" s="5">
        <f t="shared" si="6"/>
        <v>4.7619047619047616E-2</v>
      </c>
      <c r="M87" s="4">
        <v>1</v>
      </c>
      <c r="N87" s="4">
        <v>10</v>
      </c>
      <c r="O87" s="5">
        <f t="shared" si="7"/>
        <v>0.5</v>
      </c>
      <c r="P87" s="4">
        <v>10</v>
      </c>
      <c r="Q87" s="4">
        <v>1</v>
      </c>
      <c r="R87" s="4">
        <v>1</v>
      </c>
      <c r="S87" s="5">
        <f t="shared" si="8"/>
        <v>0.05</v>
      </c>
      <c r="T87" s="4">
        <v>0.2</v>
      </c>
      <c r="U87" s="4">
        <f t="shared" si="9"/>
        <v>0.7</v>
      </c>
    </row>
    <row r="88" spans="1:21" x14ac:dyDescent="0.25">
      <c r="A88" t="s">
        <v>76</v>
      </c>
      <c r="B88" s="1" t="s">
        <v>15</v>
      </c>
      <c r="C88" s="1" t="s">
        <v>94</v>
      </c>
      <c r="D88" t="s">
        <v>77</v>
      </c>
      <c r="E88">
        <v>71522</v>
      </c>
      <c r="F88" t="s">
        <v>57</v>
      </c>
      <c r="G88">
        <v>7000</v>
      </c>
      <c r="H88" s="4">
        <v>51</v>
      </c>
      <c r="I88" s="5">
        <f t="shared" si="5"/>
        <v>2.4285714285714284</v>
      </c>
      <c r="J88" s="4">
        <v>56</v>
      </c>
      <c r="K88" s="4">
        <v>6</v>
      </c>
      <c r="L88" s="5">
        <f t="shared" si="6"/>
        <v>0.2857142857142857</v>
      </c>
      <c r="M88" s="4">
        <v>6</v>
      </c>
      <c r="N88" s="4">
        <v>58</v>
      </c>
      <c r="O88" s="5">
        <f t="shared" si="7"/>
        <v>2.9</v>
      </c>
      <c r="P88" s="4">
        <v>66</v>
      </c>
      <c r="Q88" s="4">
        <v>6</v>
      </c>
      <c r="R88" s="4">
        <v>6</v>
      </c>
      <c r="S88" s="5">
        <f t="shared" si="8"/>
        <v>0.3</v>
      </c>
      <c r="T88" s="4">
        <v>2.2000000000000002</v>
      </c>
      <c r="U88" s="4">
        <f t="shared" si="9"/>
        <v>5.0999999999999996</v>
      </c>
    </row>
    <row r="89" spans="1:21" x14ac:dyDescent="0.25">
      <c r="A89" t="s">
        <v>76</v>
      </c>
      <c r="B89" s="1" t="s">
        <v>15</v>
      </c>
      <c r="C89" s="1" t="s">
        <v>94</v>
      </c>
      <c r="D89" t="s">
        <v>77</v>
      </c>
      <c r="E89">
        <v>71540</v>
      </c>
      <c r="F89" t="s">
        <v>57</v>
      </c>
      <c r="G89">
        <v>7000</v>
      </c>
      <c r="H89" s="4">
        <v>16</v>
      </c>
      <c r="I89" s="5">
        <f t="shared" si="5"/>
        <v>0.76190476190476186</v>
      </c>
      <c r="J89" s="4">
        <v>17</v>
      </c>
      <c r="K89" s="4">
        <v>4</v>
      </c>
      <c r="L89" s="5">
        <f t="shared" si="6"/>
        <v>0.19047619047619047</v>
      </c>
      <c r="M89" s="4">
        <v>6</v>
      </c>
      <c r="N89" s="4">
        <v>17</v>
      </c>
      <c r="O89" s="5">
        <f t="shared" si="7"/>
        <v>0.85</v>
      </c>
      <c r="P89" s="4">
        <v>18</v>
      </c>
      <c r="Q89" s="4">
        <v>3</v>
      </c>
      <c r="R89" s="4">
        <v>4</v>
      </c>
      <c r="S89" s="5">
        <f t="shared" si="8"/>
        <v>0.15</v>
      </c>
      <c r="T89" s="4">
        <v>0.6</v>
      </c>
      <c r="U89" s="4">
        <f t="shared" si="9"/>
        <v>1.45</v>
      </c>
    </row>
    <row r="90" spans="1:21" x14ac:dyDescent="0.25">
      <c r="A90" t="s">
        <v>76</v>
      </c>
      <c r="B90" s="1" t="s">
        <v>15</v>
      </c>
      <c r="C90" s="1" t="s">
        <v>94</v>
      </c>
      <c r="D90" t="s">
        <v>77</v>
      </c>
      <c r="E90">
        <v>71543</v>
      </c>
      <c r="F90" t="s">
        <v>57</v>
      </c>
      <c r="G90">
        <v>7000</v>
      </c>
      <c r="H90" s="4">
        <v>1</v>
      </c>
      <c r="I90" s="5">
        <f t="shared" si="5"/>
        <v>4.7619047619047616E-2</v>
      </c>
      <c r="J90" s="4">
        <v>1</v>
      </c>
      <c r="K90" s="4">
        <v>0</v>
      </c>
      <c r="L90" s="5">
        <f t="shared" si="6"/>
        <v>0</v>
      </c>
      <c r="M90" s="4">
        <v>0</v>
      </c>
      <c r="N90" s="4">
        <v>4</v>
      </c>
      <c r="O90" s="5">
        <f t="shared" si="7"/>
        <v>0.2</v>
      </c>
      <c r="P90" s="4">
        <v>4</v>
      </c>
      <c r="Q90" s="4">
        <v>0</v>
      </c>
      <c r="R90" s="4">
        <v>0</v>
      </c>
      <c r="S90" s="5">
        <f t="shared" si="8"/>
        <v>0</v>
      </c>
      <c r="T90" s="4">
        <v>0.1</v>
      </c>
      <c r="U90" s="4">
        <f t="shared" si="9"/>
        <v>0.30000000000000004</v>
      </c>
    </row>
    <row r="91" spans="1:21" x14ac:dyDescent="0.25">
      <c r="A91" t="s">
        <v>76</v>
      </c>
      <c r="B91" s="1" t="s">
        <v>15</v>
      </c>
      <c r="C91" s="1" t="s">
        <v>94</v>
      </c>
      <c r="D91" t="s">
        <v>77</v>
      </c>
      <c r="E91">
        <v>71546</v>
      </c>
      <c r="F91" t="s">
        <v>57</v>
      </c>
      <c r="G91">
        <v>7000</v>
      </c>
      <c r="H91" s="4">
        <v>7</v>
      </c>
      <c r="I91" s="5">
        <f t="shared" si="5"/>
        <v>0.33333333333333331</v>
      </c>
      <c r="J91" s="4">
        <v>7</v>
      </c>
      <c r="K91" s="4">
        <v>1</v>
      </c>
      <c r="L91" s="5">
        <f t="shared" si="6"/>
        <v>4.7619047619047616E-2</v>
      </c>
      <c r="M91" s="4">
        <v>1</v>
      </c>
      <c r="N91" s="4">
        <v>11</v>
      </c>
      <c r="O91" s="5">
        <f t="shared" si="7"/>
        <v>0.55000000000000004</v>
      </c>
      <c r="P91" s="4">
        <v>11</v>
      </c>
      <c r="Q91" s="4">
        <v>0</v>
      </c>
      <c r="R91" s="4">
        <v>0</v>
      </c>
      <c r="S91" s="5">
        <f t="shared" si="8"/>
        <v>0</v>
      </c>
      <c r="T91" s="4">
        <v>0.4</v>
      </c>
      <c r="U91" s="4">
        <f t="shared" si="9"/>
        <v>0.95000000000000007</v>
      </c>
    </row>
    <row r="92" spans="1:21" x14ac:dyDescent="0.25">
      <c r="A92" t="s">
        <v>76</v>
      </c>
      <c r="B92" s="1" t="s">
        <v>15</v>
      </c>
      <c r="C92" s="1" t="s">
        <v>94</v>
      </c>
      <c r="D92" t="s">
        <v>77</v>
      </c>
      <c r="E92">
        <v>71549</v>
      </c>
      <c r="F92" t="s">
        <v>57</v>
      </c>
      <c r="G92">
        <v>7000</v>
      </c>
      <c r="H92" s="4">
        <v>4</v>
      </c>
      <c r="I92" s="5">
        <f t="shared" si="5"/>
        <v>0.19047619047619047</v>
      </c>
      <c r="J92" s="4">
        <v>4</v>
      </c>
      <c r="K92" s="4">
        <v>0</v>
      </c>
      <c r="L92" s="5">
        <f t="shared" si="6"/>
        <v>0</v>
      </c>
      <c r="M92" s="4">
        <v>0</v>
      </c>
      <c r="N92" s="4">
        <v>3</v>
      </c>
      <c r="O92" s="5">
        <f t="shared" si="7"/>
        <v>0.15</v>
      </c>
      <c r="P92" s="4">
        <v>3</v>
      </c>
      <c r="Q92" s="4">
        <v>0</v>
      </c>
      <c r="R92" s="4">
        <v>0</v>
      </c>
      <c r="S92" s="5">
        <f t="shared" si="8"/>
        <v>0</v>
      </c>
      <c r="T92" s="4">
        <v>0.2</v>
      </c>
      <c r="U92" s="4">
        <f t="shared" si="9"/>
        <v>0.35</v>
      </c>
    </row>
    <row r="93" spans="1:21" x14ac:dyDescent="0.25">
      <c r="A93" t="s">
        <v>76</v>
      </c>
      <c r="B93" s="1" t="s">
        <v>15</v>
      </c>
      <c r="C93" s="1" t="s">
        <v>94</v>
      </c>
      <c r="D93" t="s">
        <v>77</v>
      </c>
      <c r="E93">
        <v>71554</v>
      </c>
      <c r="F93" t="s">
        <v>57</v>
      </c>
      <c r="G93">
        <v>7000</v>
      </c>
      <c r="H93" s="4">
        <v>8</v>
      </c>
      <c r="I93" s="5">
        <f t="shared" si="5"/>
        <v>0.38095238095238093</v>
      </c>
      <c r="J93" s="4">
        <v>8</v>
      </c>
      <c r="K93" s="4">
        <v>0</v>
      </c>
      <c r="L93" s="5">
        <f t="shared" si="6"/>
        <v>0</v>
      </c>
      <c r="M93" s="4">
        <v>0</v>
      </c>
      <c r="N93" s="4">
        <v>7</v>
      </c>
      <c r="O93" s="5">
        <f t="shared" si="7"/>
        <v>0.35</v>
      </c>
      <c r="P93" s="4">
        <v>7</v>
      </c>
      <c r="Q93" s="4">
        <v>0</v>
      </c>
      <c r="R93" s="4">
        <v>0</v>
      </c>
      <c r="S93" s="5">
        <f t="shared" si="8"/>
        <v>0</v>
      </c>
      <c r="T93" s="4">
        <v>0.2</v>
      </c>
      <c r="U93" s="4">
        <f t="shared" si="9"/>
        <v>0.55000000000000004</v>
      </c>
    </row>
    <row r="94" spans="1:21" x14ac:dyDescent="0.25">
      <c r="A94" t="s">
        <v>76</v>
      </c>
      <c r="B94" s="1" t="s">
        <v>15</v>
      </c>
      <c r="C94" s="1" t="s">
        <v>94</v>
      </c>
      <c r="D94" t="s">
        <v>77</v>
      </c>
      <c r="E94">
        <v>71560</v>
      </c>
      <c r="F94" t="s">
        <v>57</v>
      </c>
      <c r="G94">
        <v>7000</v>
      </c>
      <c r="H94" s="4">
        <v>2</v>
      </c>
      <c r="I94" s="5">
        <f t="shared" si="5"/>
        <v>9.5238095238095233E-2</v>
      </c>
      <c r="J94" s="4">
        <v>2</v>
      </c>
      <c r="K94" s="4">
        <v>0</v>
      </c>
      <c r="L94" s="5">
        <f t="shared" si="6"/>
        <v>0</v>
      </c>
      <c r="M94" s="4">
        <v>0</v>
      </c>
      <c r="N94" s="4">
        <v>8</v>
      </c>
      <c r="O94" s="5">
        <f t="shared" si="7"/>
        <v>0.4</v>
      </c>
      <c r="P94" s="4">
        <v>8</v>
      </c>
      <c r="Q94" s="4">
        <v>0</v>
      </c>
      <c r="R94" s="4">
        <v>0</v>
      </c>
      <c r="S94" s="5">
        <f t="shared" si="8"/>
        <v>0</v>
      </c>
      <c r="T94" s="4">
        <v>0.4</v>
      </c>
      <c r="U94" s="4">
        <f t="shared" si="9"/>
        <v>0.8</v>
      </c>
    </row>
    <row r="95" spans="1:21" x14ac:dyDescent="0.25">
      <c r="A95" t="s">
        <v>76</v>
      </c>
      <c r="B95" s="1" t="s">
        <v>15</v>
      </c>
      <c r="C95" s="1" t="s">
        <v>94</v>
      </c>
      <c r="D95" t="s">
        <v>77</v>
      </c>
      <c r="E95">
        <v>71563</v>
      </c>
      <c r="F95" t="s">
        <v>57</v>
      </c>
      <c r="G95">
        <v>7000</v>
      </c>
      <c r="H95" s="4">
        <v>5</v>
      </c>
      <c r="I95" s="5">
        <f t="shared" si="5"/>
        <v>0.23809523809523808</v>
      </c>
      <c r="J95" s="4">
        <v>6</v>
      </c>
      <c r="K95" s="4">
        <v>8</v>
      </c>
      <c r="L95" s="5">
        <f t="shared" si="6"/>
        <v>0.38095238095238093</v>
      </c>
      <c r="M95" s="4">
        <v>9</v>
      </c>
      <c r="N95" s="4">
        <v>7</v>
      </c>
      <c r="O95" s="5">
        <f t="shared" si="7"/>
        <v>0.35</v>
      </c>
      <c r="P95" s="4">
        <v>7</v>
      </c>
      <c r="Q95" s="4">
        <v>10</v>
      </c>
      <c r="R95" s="4">
        <v>21</v>
      </c>
      <c r="S95" s="5">
        <f t="shared" si="8"/>
        <v>0.5</v>
      </c>
      <c r="T95" s="4">
        <v>0.4</v>
      </c>
      <c r="U95" s="4">
        <f t="shared" si="9"/>
        <v>0.75</v>
      </c>
    </row>
    <row r="96" spans="1:21" x14ac:dyDescent="0.25">
      <c r="A96" t="s">
        <v>76</v>
      </c>
      <c r="B96" s="1" t="s">
        <v>15</v>
      </c>
      <c r="C96" s="1" t="s">
        <v>94</v>
      </c>
      <c r="D96" t="s">
        <v>77</v>
      </c>
      <c r="E96">
        <v>71566</v>
      </c>
      <c r="F96" t="s">
        <v>57</v>
      </c>
      <c r="G96">
        <v>7000</v>
      </c>
      <c r="H96" s="4">
        <v>0</v>
      </c>
      <c r="I96" s="5">
        <f t="shared" si="5"/>
        <v>0</v>
      </c>
      <c r="J96" s="4">
        <v>0</v>
      </c>
      <c r="K96" s="4">
        <v>0</v>
      </c>
      <c r="L96" s="5">
        <f t="shared" si="6"/>
        <v>0</v>
      </c>
      <c r="M96" s="4">
        <v>0</v>
      </c>
      <c r="N96" s="4">
        <v>0</v>
      </c>
      <c r="O96" s="5">
        <f t="shared" si="7"/>
        <v>0</v>
      </c>
      <c r="P96" s="4">
        <v>0</v>
      </c>
      <c r="Q96" s="4">
        <v>0</v>
      </c>
      <c r="R96" s="4">
        <v>0</v>
      </c>
      <c r="S96" s="5">
        <f t="shared" si="8"/>
        <v>0</v>
      </c>
      <c r="T96" s="4">
        <v>0.2</v>
      </c>
      <c r="U96" s="4">
        <f t="shared" si="9"/>
        <v>0.2</v>
      </c>
    </row>
    <row r="97" spans="1:21" x14ac:dyDescent="0.25">
      <c r="A97" t="s">
        <v>76</v>
      </c>
      <c r="B97" s="1" t="s">
        <v>15</v>
      </c>
      <c r="C97" s="1" t="s">
        <v>94</v>
      </c>
      <c r="D97" t="s">
        <v>77</v>
      </c>
      <c r="E97">
        <v>71570</v>
      </c>
      <c r="F97" t="s">
        <v>57</v>
      </c>
      <c r="G97">
        <v>7000</v>
      </c>
      <c r="H97" s="4">
        <v>3</v>
      </c>
      <c r="I97" s="5">
        <f t="shared" si="5"/>
        <v>0.14285714285714285</v>
      </c>
      <c r="J97" s="4">
        <v>3</v>
      </c>
      <c r="K97" s="4">
        <v>5</v>
      </c>
      <c r="L97" s="5">
        <f t="shared" si="6"/>
        <v>0.23809523809523808</v>
      </c>
      <c r="M97" s="4">
        <v>5</v>
      </c>
      <c r="N97" s="4">
        <v>2</v>
      </c>
      <c r="O97" s="5">
        <f t="shared" si="7"/>
        <v>0.1</v>
      </c>
      <c r="P97" s="4">
        <v>2</v>
      </c>
      <c r="Q97" s="4">
        <v>6</v>
      </c>
      <c r="R97" s="4">
        <v>6</v>
      </c>
      <c r="S97" s="5">
        <f t="shared" si="8"/>
        <v>0.3</v>
      </c>
      <c r="T97" s="4">
        <v>0.4</v>
      </c>
      <c r="U97" s="4">
        <f t="shared" si="9"/>
        <v>0.5</v>
      </c>
    </row>
    <row r="98" spans="1:21" x14ac:dyDescent="0.25">
      <c r="A98" t="s">
        <v>76</v>
      </c>
      <c r="B98" s="1" t="s">
        <v>15</v>
      </c>
      <c r="C98" s="1" t="s">
        <v>94</v>
      </c>
      <c r="D98" t="s">
        <v>77</v>
      </c>
      <c r="E98">
        <v>71573</v>
      </c>
      <c r="F98" t="s">
        <v>57</v>
      </c>
      <c r="G98">
        <v>7000</v>
      </c>
      <c r="H98" s="4">
        <v>0</v>
      </c>
      <c r="I98" s="5">
        <f t="shared" si="5"/>
        <v>0</v>
      </c>
      <c r="J98" s="4">
        <v>0</v>
      </c>
      <c r="K98" s="4">
        <v>0</v>
      </c>
      <c r="L98" s="5">
        <f t="shared" si="6"/>
        <v>0</v>
      </c>
      <c r="M98" s="4">
        <v>0</v>
      </c>
      <c r="N98" s="4">
        <v>0</v>
      </c>
      <c r="O98" s="5">
        <f t="shared" si="7"/>
        <v>0</v>
      </c>
      <c r="P98" s="4">
        <v>0</v>
      </c>
      <c r="Q98" s="4">
        <v>0</v>
      </c>
      <c r="R98" s="4">
        <v>0</v>
      </c>
      <c r="S98" s="5">
        <f t="shared" si="8"/>
        <v>0</v>
      </c>
      <c r="T98" s="4">
        <v>0.1</v>
      </c>
      <c r="U98" s="4">
        <f t="shared" si="9"/>
        <v>0.1</v>
      </c>
    </row>
    <row r="99" spans="1:21" x14ac:dyDescent="0.25">
      <c r="A99" t="s">
        <v>76</v>
      </c>
      <c r="B99" s="1" t="s">
        <v>15</v>
      </c>
      <c r="C99" s="1" t="s">
        <v>94</v>
      </c>
      <c r="D99" t="s">
        <v>77</v>
      </c>
      <c r="E99">
        <v>71576</v>
      </c>
      <c r="F99" t="s">
        <v>57</v>
      </c>
      <c r="G99">
        <v>7000</v>
      </c>
      <c r="H99" s="4">
        <v>0</v>
      </c>
      <c r="I99" s="5">
        <f t="shared" si="5"/>
        <v>0</v>
      </c>
      <c r="J99" s="4">
        <v>0</v>
      </c>
      <c r="K99" s="4">
        <v>1</v>
      </c>
      <c r="L99" s="5">
        <f t="shared" si="6"/>
        <v>4.7619047619047616E-2</v>
      </c>
      <c r="M99" s="4">
        <v>1</v>
      </c>
      <c r="N99" s="4">
        <v>1</v>
      </c>
      <c r="O99" s="5">
        <f t="shared" si="7"/>
        <v>0.05</v>
      </c>
      <c r="P99" s="4">
        <v>1</v>
      </c>
      <c r="Q99" s="4">
        <v>3</v>
      </c>
      <c r="R99" s="4">
        <v>3</v>
      </c>
      <c r="S99" s="5">
        <f t="shared" si="8"/>
        <v>0.15</v>
      </c>
      <c r="T99" s="4">
        <v>0.3</v>
      </c>
      <c r="U99" s="4">
        <f t="shared" si="9"/>
        <v>0.35</v>
      </c>
    </row>
    <row r="100" spans="1:21" x14ac:dyDescent="0.25">
      <c r="A100" t="s">
        <v>76</v>
      </c>
      <c r="B100" s="1" t="s">
        <v>15</v>
      </c>
      <c r="C100" s="1" t="s">
        <v>94</v>
      </c>
      <c r="D100" t="s">
        <v>77</v>
      </c>
      <c r="E100">
        <v>71577</v>
      </c>
      <c r="F100" t="s">
        <v>57</v>
      </c>
      <c r="G100">
        <v>7000</v>
      </c>
      <c r="H100" s="4">
        <v>1</v>
      </c>
      <c r="I100" s="5">
        <f t="shared" si="5"/>
        <v>4.7619047619047616E-2</v>
      </c>
      <c r="J100" s="4">
        <v>1</v>
      </c>
      <c r="K100" s="4">
        <v>0</v>
      </c>
      <c r="L100" s="5">
        <f t="shared" si="6"/>
        <v>0</v>
      </c>
      <c r="M100" s="4">
        <v>0</v>
      </c>
      <c r="N100" s="4">
        <v>1</v>
      </c>
      <c r="O100" s="5">
        <f t="shared" si="7"/>
        <v>0.05</v>
      </c>
      <c r="P100" s="4">
        <v>1</v>
      </c>
      <c r="Q100" s="4">
        <v>0</v>
      </c>
      <c r="R100" s="4">
        <v>0</v>
      </c>
      <c r="S100" s="5">
        <f t="shared" si="8"/>
        <v>0</v>
      </c>
      <c r="T100" s="4">
        <v>0.1</v>
      </c>
      <c r="U100" s="4">
        <f t="shared" si="9"/>
        <v>0.15000000000000002</v>
      </c>
    </row>
    <row r="101" spans="1:21" x14ac:dyDescent="0.25">
      <c r="A101" t="s">
        <v>76</v>
      </c>
      <c r="B101" s="1" t="s">
        <v>15</v>
      </c>
      <c r="C101" s="1" t="s">
        <v>94</v>
      </c>
      <c r="D101" t="s">
        <v>77</v>
      </c>
      <c r="E101">
        <v>71579</v>
      </c>
      <c r="F101" t="s">
        <v>57</v>
      </c>
      <c r="G101">
        <v>7000</v>
      </c>
      <c r="H101" s="4">
        <v>0</v>
      </c>
      <c r="I101" s="5">
        <f t="shared" si="5"/>
        <v>0</v>
      </c>
      <c r="J101" s="4">
        <v>0</v>
      </c>
      <c r="K101" s="4">
        <v>0</v>
      </c>
      <c r="L101" s="5">
        <f t="shared" si="6"/>
        <v>0</v>
      </c>
      <c r="M101" s="4">
        <v>0</v>
      </c>
      <c r="N101" s="4">
        <v>0</v>
      </c>
      <c r="O101" s="5">
        <f t="shared" si="7"/>
        <v>0</v>
      </c>
      <c r="P101" s="4">
        <v>0</v>
      </c>
      <c r="Q101" s="4">
        <v>0</v>
      </c>
      <c r="R101" s="4">
        <v>0</v>
      </c>
      <c r="S101" s="5">
        <f t="shared" si="8"/>
        <v>0</v>
      </c>
      <c r="T101" s="4">
        <v>0</v>
      </c>
      <c r="U101" s="4">
        <f t="shared" si="9"/>
        <v>0</v>
      </c>
    </row>
    <row r="102" spans="1:21" x14ac:dyDescent="0.25">
      <c r="A102" t="s">
        <v>78</v>
      </c>
      <c r="B102" s="1" t="s">
        <v>14</v>
      </c>
      <c r="C102" s="1" t="s">
        <v>94</v>
      </c>
      <c r="D102" t="s">
        <v>79</v>
      </c>
      <c r="E102">
        <v>71634</v>
      </c>
      <c r="F102" t="s">
        <v>57</v>
      </c>
      <c r="G102">
        <v>7000</v>
      </c>
      <c r="H102" s="4">
        <v>14</v>
      </c>
      <c r="I102" s="5">
        <f t="shared" si="5"/>
        <v>0.66666666666666663</v>
      </c>
      <c r="J102" s="4">
        <v>14</v>
      </c>
      <c r="K102" s="4">
        <v>2</v>
      </c>
      <c r="L102" s="5">
        <f t="shared" si="6"/>
        <v>9.5238095238095233E-2</v>
      </c>
      <c r="M102" s="4">
        <v>2</v>
      </c>
      <c r="N102" s="4">
        <v>17</v>
      </c>
      <c r="O102" s="5">
        <f t="shared" si="7"/>
        <v>0.85</v>
      </c>
      <c r="P102" s="4">
        <v>18</v>
      </c>
      <c r="Q102" s="4">
        <v>1</v>
      </c>
      <c r="R102" s="4">
        <v>1</v>
      </c>
      <c r="S102" s="5">
        <f t="shared" si="8"/>
        <v>0.05</v>
      </c>
      <c r="T102" s="4">
        <v>0.7</v>
      </c>
      <c r="U102" s="4">
        <f t="shared" si="9"/>
        <v>1.5499999999999998</v>
      </c>
    </row>
    <row r="103" spans="1:21" x14ac:dyDescent="0.25">
      <c r="A103" t="s">
        <v>78</v>
      </c>
      <c r="B103" s="1" t="s">
        <v>14</v>
      </c>
      <c r="C103" s="1" t="s">
        <v>94</v>
      </c>
      <c r="D103" t="s">
        <v>79</v>
      </c>
      <c r="E103">
        <v>71636</v>
      </c>
      <c r="F103" t="s">
        <v>57</v>
      </c>
      <c r="G103">
        <v>7000</v>
      </c>
      <c r="H103" s="4">
        <v>30</v>
      </c>
      <c r="I103" s="5">
        <f t="shared" si="5"/>
        <v>1.4285714285714286</v>
      </c>
      <c r="J103" s="4">
        <v>34</v>
      </c>
      <c r="K103" s="4">
        <v>16</v>
      </c>
      <c r="L103" s="5">
        <f t="shared" si="6"/>
        <v>0.76190476190476186</v>
      </c>
      <c r="M103" s="4">
        <v>33</v>
      </c>
      <c r="N103" s="4">
        <v>43</v>
      </c>
      <c r="O103" s="5">
        <f t="shared" si="7"/>
        <v>2.15</v>
      </c>
      <c r="P103" s="4">
        <v>45</v>
      </c>
      <c r="Q103" s="4">
        <v>21</v>
      </c>
      <c r="R103" s="4">
        <v>47</v>
      </c>
      <c r="S103" s="5">
        <f t="shared" si="8"/>
        <v>1.05</v>
      </c>
      <c r="T103" s="4">
        <v>2.1</v>
      </c>
      <c r="U103" s="4">
        <f t="shared" si="9"/>
        <v>4.25</v>
      </c>
    </row>
    <row r="104" spans="1:21" x14ac:dyDescent="0.25">
      <c r="A104" t="s">
        <v>78</v>
      </c>
      <c r="B104" s="1" t="s">
        <v>14</v>
      </c>
      <c r="C104" s="1" t="s">
        <v>94</v>
      </c>
      <c r="D104" t="s">
        <v>79</v>
      </c>
      <c r="E104">
        <v>71638</v>
      </c>
      <c r="F104" t="s">
        <v>57</v>
      </c>
      <c r="G104">
        <v>7000</v>
      </c>
      <c r="H104" s="4">
        <v>2</v>
      </c>
      <c r="I104" s="5">
        <f t="shared" si="5"/>
        <v>9.5238095238095233E-2</v>
      </c>
      <c r="J104" s="4">
        <v>2</v>
      </c>
      <c r="K104" s="4">
        <v>0</v>
      </c>
      <c r="L104" s="5">
        <f t="shared" si="6"/>
        <v>0</v>
      </c>
      <c r="M104" s="4">
        <v>0</v>
      </c>
      <c r="N104" s="4">
        <v>6</v>
      </c>
      <c r="O104" s="5">
        <f t="shared" si="7"/>
        <v>0.3</v>
      </c>
      <c r="P104" s="4">
        <v>7</v>
      </c>
      <c r="Q104" s="4">
        <v>0</v>
      </c>
      <c r="R104" s="4">
        <v>0</v>
      </c>
      <c r="S104" s="5">
        <f t="shared" si="8"/>
        <v>0</v>
      </c>
      <c r="T104" s="4">
        <v>0.3</v>
      </c>
      <c r="U104" s="4">
        <f t="shared" si="9"/>
        <v>0.6</v>
      </c>
    </row>
    <row r="105" spans="1:21" x14ac:dyDescent="0.25">
      <c r="A105" t="s">
        <v>78</v>
      </c>
      <c r="B105" s="1" t="s">
        <v>14</v>
      </c>
      <c r="C105" s="1" t="s">
        <v>94</v>
      </c>
      <c r="D105" t="s">
        <v>79</v>
      </c>
      <c r="E105">
        <v>71640</v>
      </c>
      <c r="F105" t="s">
        <v>57</v>
      </c>
      <c r="G105">
        <v>7000</v>
      </c>
      <c r="H105" s="4">
        <v>12</v>
      </c>
      <c r="I105" s="5">
        <f t="shared" si="5"/>
        <v>0.5714285714285714</v>
      </c>
      <c r="J105" s="4">
        <v>13</v>
      </c>
      <c r="K105" s="4">
        <v>10</v>
      </c>
      <c r="L105" s="5">
        <f t="shared" si="6"/>
        <v>0.47619047619047616</v>
      </c>
      <c r="M105" s="4">
        <v>12</v>
      </c>
      <c r="N105" s="4">
        <v>6</v>
      </c>
      <c r="O105" s="5">
        <f t="shared" si="7"/>
        <v>0.3</v>
      </c>
      <c r="P105" s="4">
        <v>6</v>
      </c>
      <c r="Q105" s="4">
        <v>12</v>
      </c>
      <c r="R105" s="4">
        <v>16</v>
      </c>
      <c r="S105" s="5">
        <f t="shared" si="8"/>
        <v>0.6</v>
      </c>
      <c r="T105" s="4">
        <v>0.2</v>
      </c>
      <c r="U105" s="4">
        <f t="shared" si="9"/>
        <v>0.5</v>
      </c>
    </row>
    <row r="106" spans="1:21" x14ac:dyDescent="0.25">
      <c r="A106" t="s">
        <v>78</v>
      </c>
      <c r="B106" s="1" t="s">
        <v>14</v>
      </c>
      <c r="C106" s="1" t="s">
        <v>94</v>
      </c>
      <c r="D106" t="s">
        <v>79</v>
      </c>
      <c r="E106">
        <v>71642</v>
      </c>
      <c r="F106" t="s">
        <v>57</v>
      </c>
      <c r="G106">
        <v>7000</v>
      </c>
      <c r="H106" s="4">
        <v>11</v>
      </c>
      <c r="I106" s="5">
        <f t="shared" si="5"/>
        <v>0.52380952380952384</v>
      </c>
      <c r="J106" s="4">
        <v>11</v>
      </c>
      <c r="K106" s="4">
        <v>5</v>
      </c>
      <c r="L106" s="5">
        <f t="shared" si="6"/>
        <v>0.23809523809523808</v>
      </c>
      <c r="M106" s="4">
        <v>5</v>
      </c>
      <c r="N106" s="4">
        <v>9</v>
      </c>
      <c r="O106" s="5">
        <f t="shared" si="7"/>
        <v>0.45</v>
      </c>
      <c r="P106" s="4">
        <v>9</v>
      </c>
      <c r="Q106" s="4">
        <v>7</v>
      </c>
      <c r="R106" s="4">
        <v>7</v>
      </c>
      <c r="S106" s="5">
        <f t="shared" si="8"/>
        <v>0.35</v>
      </c>
      <c r="T106" s="4">
        <v>0.8</v>
      </c>
      <c r="U106" s="4">
        <f t="shared" si="9"/>
        <v>1.25</v>
      </c>
    </row>
    <row r="107" spans="1:21" x14ac:dyDescent="0.25">
      <c r="A107" t="s">
        <v>66</v>
      </c>
      <c r="B107" s="1" t="s">
        <v>23</v>
      </c>
      <c r="C107" s="1" t="s">
        <v>94</v>
      </c>
      <c r="D107" t="s">
        <v>67</v>
      </c>
      <c r="E107">
        <v>71665</v>
      </c>
      <c r="F107" t="s">
        <v>57</v>
      </c>
      <c r="G107">
        <v>7000</v>
      </c>
      <c r="H107" s="4">
        <v>8</v>
      </c>
      <c r="I107" s="5">
        <f t="shared" si="5"/>
        <v>0.38095238095238093</v>
      </c>
      <c r="J107" s="4">
        <v>8</v>
      </c>
      <c r="K107" s="4">
        <v>20</v>
      </c>
      <c r="L107" s="5">
        <f t="shared" si="6"/>
        <v>0.95238095238095233</v>
      </c>
      <c r="M107" s="4">
        <v>37</v>
      </c>
      <c r="N107" s="4">
        <v>14</v>
      </c>
      <c r="O107" s="5">
        <f t="shared" si="7"/>
        <v>0.7</v>
      </c>
      <c r="P107" s="4">
        <v>14</v>
      </c>
      <c r="Q107" s="4">
        <v>21</v>
      </c>
      <c r="R107" s="4">
        <v>34</v>
      </c>
      <c r="S107" s="5">
        <f t="shared" si="8"/>
        <v>1.05</v>
      </c>
      <c r="T107" s="4">
        <v>1.3</v>
      </c>
      <c r="U107" s="4">
        <f t="shared" si="9"/>
        <v>2</v>
      </c>
    </row>
    <row r="108" spans="1:21" x14ac:dyDescent="0.25">
      <c r="A108" t="s">
        <v>78</v>
      </c>
      <c r="B108" s="1" t="s">
        <v>13</v>
      </c>
      <c r="C108" s="1" t="s">
        <v>94</v>
      </c>
      <c r="D108" t="s">
        <v>79</v>
      </c>
      <c r="E108">
        <v>71672</v>
      </c>
      <c r="F108" t="s">
        <v>57</v>
      </c>
      <c r="G108">
        <v>7000</v>
      </c>
      <c r="H108" s="4">
        <v>5</v>
      </c>
      <c r="I108" s="5">
        <f t="shared" si="5"/>
        <v>0.23809523809523808</v>
      </c>
      <c r="J108" s="4">
        <v>9</v>
      </c>
      <c r="K108" s="4">
        <v>1</v>
      </c>
      <c r="L108" s="5">
        <f t="shared" si="6"/>
        <v>4.7619047619047616E-2</v>
      </c>
      <c r="M108" s="4">
        <v>1</v>
      </c>
      <c r="N108" s="4">
        <v>10</v>
      </c>
      <c r="O108" s="5">
        <f t="shared" si="7"/>
        <v>0.5</v>
      </c>
      <c r="P108" s="4">
        <v>12</v>
      </c>
      <c r="Q108" s="4">
        <v>2</v>
      </c>
      <c r="R108" s="4">
        <v>2</v>
      </c>
      <c r="S108" s="5">
        <f t="shared" si="8"/>
        <v>0.1</v>
      </c>
      <c r="T108" s="4">
        <v>0.5</v>
      </c>
      <c r="U108" s="4">
        <f t="shared" si="9"/>
        <v>1</v>
      </c>
    </row>
    <row r="109" spans="1:21" x14ac:dyDescent="0.25">
      <c r="A109" t="s">
        <v>78</v>
      </c>
      <c r="B109" s="1" t="s">
        <v>14</v>
      </c>
      <c r="C109" s="1" t="s">
        <v>94</v>
      </c>
      <c r="D109" t="s">
        <v>79</v>
      </c>
      <c r="E109">
        <v>71679</v>
      </c>
      <c r="F109" t="s">
        <v>57</v>
      </c>
      <c r="G109">
        <v>7000</v>
      </c>
      <c r="H109" s="4">
        <v>17</v>
      </c>
      <c r="I109" s="5">
        <f t="shared" si="5"/>
        <v>0.80952380952380953</v>
      </c>
      <c r="J109" s="4">
        <v>17</v>
      </c>
      <c r="K109" s="4">
        <v>7</v>
      </c>
      <c r="L109" s="5">
        <f t="shared" si="6"/>
        <v>0.33333333333333331</v>
      </c>
      <c r="M109" s="4">
        <v>9</v>
      </c>
      <c r="N109" s="4">
        <v>17</v>
      </c>
      <c r="O109" s="5">
        <f t="shared" si="7"/>
        <v>0.85</v>
      </c>
      <c r="P109" s="4">
        <v>19</v>
      </c>
      <c r="Q109" s="4">
        <v>14</v>
      </c>
      <c r="R109" s="4">
        <v>18</v>
      </c>
      <c r="S109" s="5">
        <f t="shared" si="8"/>
        <v>0.7</v>
      </c>
      <c r="T109" s="4">
        <v>0.4</v>
      </c>
      <c r="U109" s="4">
        <f t="shared" si="9"/>
        <v>1.25</v>
      </c>
    </row>
    <row r="110" spans="1:21" x14ac:dyDescent="0.25">
      <c r="A110" t="s">
        <v>63</v>
      </c>
      <c r="B110" s="1" t="s">
        <v>5</v>
      </c>
      <c r="C110" s="1" t="s">
        <v>94</v>
      </c>
      <c r="D110" t="s">
        <v>64</v>
      </c>
      <c r="E110">
        <v>71686</v>
      </c>
      <c r="F110" t="s">
        <v>57</v>
      </c>
      <c r="G110">
        <v>7000</v>
      </c>
      <c r="H110" s="4">
        <v>10</v>
      </c>
      <c r="I110" s="5">
        <f t="shared" si="5"/>
        <v>0.47619047619047616</v>
      </c>
      <c r="J110" s="4">
        <v>10</v>
      </c>
      <c r="K110" s="4">
        <v>9</v>
      </c>
      <c r="L110" s="5">
        <f t="shared" si="6"/>
        <v>0.42857142857142855</v>
      </c>
      <c r="M110" s="4">
        <v>16</v>
      </c>
      <c r="N110" s="4">
        <v>24</v>
      </c>
      <c r="O110" s="5">
        <f t="shared" si="7"/>
        <v>1.2</v>
      </c>
      <c r="P110" s="4">
        <v>25</v>
      </c>
      <c r="Q110" s="4">
        <v>7</v>
      </c>
      <c r="R110" s="4">
        <v>12</v>
      </c>
      <c r="S110" s="5">
        <f t="shared" si="8"/>
        <v>0.35</v>
      </c>
      <c r="T110" s="4">
        <v>1.1000000000000001</v>
      </c>
      <c r="U110" s="4">
        <f t="shared" si="9"/>
        <v>2.2999999999999998</v>
      </c>
    </row>
    <row r="111" spans="1:21" x14ac:dyDescent="0.25">
      <c r="A111" t="s">
        <v>78</v>
      </c>
      <c r="B111" s="1" t="s">
        <v>13</v>
      </c>
      <c r="C111" s="1" t="s">
        <v>94</v>
      </c>
      <c r="D111" t="s">
        <v>79</v>
      </c>
      <c r="E111">
        <v>71691</v>
      </c>
      <c r="F111" t="s">
        <v>57</v>
      </c>
      <c r="G111">
        <v>7000</v>
      </c>
      <c r="H111" s="4">
        <v>18</v>
      </c>
      <c r="I111" s="5">
        <f t="shared" si="5"/>
        <v>0.8571428571428571</v>
      </c>
      <c r="J111" s="4">
        <v>18</v>
      </c>
      <c r="K111" s="4">
        <v>13</v>
      </c>
      <c r="L111" s="5">
        <f t="shared" si="6"/>
        <v>0.61904761904761907</v>
      </c>
      <c r="M111" s="4">
        <v>15</v>
      </c>
      <c r="N111" s="4">
        <v>19</v>
      </c>
      <c r="O111" s="5">
        <f t="shared" si="7"/>
        <v>0.95</v>
      </c>
      <c r="P111" s="4">
        <v>21</v>
      </c>
      <c r="Q111" s="4">
        <v>15</v>
      </c>
      <c r="R111" s="4">
        <v>18</v>
      </c>
      <c r="S111" s="5">
        <f t="shared" si="8"/>
        <v>0.75</v>
      </c>
      <c r="T111" s="4">
        <v>0.8</v>
      </c>
      <c r="U111" s="4">
        <f t="shared" si="9"/>
        <v>1.75</v>
      </c>
    </row>
    <row r="112" spans="1:21" x14ac:dyDescent="0.25">
      <c r="A112" t="s">
        <v>78</v>
      </c>
      <c r="B112" s="1" t="s">
        <v>14</v>
      </c>
      <c r="C112" s="1" t="s">
        <v>94</v>
      </c>
      <c r="D112" t="s">
        <v>79</v>
      </c>
      <c r="E112">
        <v>71696</v>
      </c>
      <c r="F112" t="s">
        <v>57</v>
      </c>
      <c r="G112">
        <v>7000</v>
      </c>
      <c r="H112" s="4">
        <v>14</v>
      </c>
      <c r="I112" s="5">
        <f t="shared" si="5"/>
        <v>0.66666666666666663</v>
      </c>
      <c r="J112" s="4">
        <v>14</v>
      </c>
      <c r="K112" s="4">
        <v>5</v>
      </c>
      <c r="L112" s="5">
        <f t="shared" si="6"/>
        <v>0.23809523809523808</v>
      </c>
      <c r="M112" s="4">
        <v>6</v>
      </c>
      <c r="N112" s="4">
        <v>26</v>
      </c>
      <c r="O112" s="5">
        <f t="shared" si="7"/>
        <v>1.3</v>
      </c>
      <c r="P112" s="4">
        <v>29</v>
      </c>
      <c r="Q112" s="4">
        <v>6</v>
      </c>
      <c r="R112" s="4">
        <v>8</v>
      </c>
      <c r="S112" s="5">
        <f t="shared" si="8"/>
        <v>0.3</v>
      </c>
      <c r="T112" s="4">
        <v>1.2</v>
      </c>
      <c r="U112" s="4">
        <f t="shared" si="9"/>
        <v>2.5</v>
      </c>
    </row>
    <row r="113" spans="1:21" x14ac:dyDescent="0.25">
      <c r="A113" t="s">
        <v>66</v>
      </c>
      <c r="B113" s="1" t="s">
        <v>14</v>
      </c>
      <c r="C113" s="1" t="s">
        <v>94</v>
      </c>
      <c r="D113" t="s">
        <v>67</v>
      </c>
      <c r="E113">
        <v>71701</v>
      </c>
      <c r="F113" t="s">
        <v>57</v>
      </c>
      <c r="G113">
        <v>7000</v>
      </c>
      <c r="H113" s="4">
        <v>8</v>
      </c>
      <c r="I113" s="5">
        <f t="shared" si="5"/>
        <v>0.38095238095238093</v>
      </c>
      <c r="J113" s="4">
        <v>8</v>
      </c>
      <c r="K113" s="4">
        <v>8</v>
      </c>
      <c r="L113" s="5">
        <f t="shared" si="6"/>
        <v>0.38095238095238093</v>
      </c>
      <c r="M113" s="4">
        <v>9</v>
      </c>
      <c r="N113" s="4">
        <v>12</v>
      </c>
      <c r="O113" s="5">
        <f t="shared" si="7"/>
        <v>0.6</v>
      </c>
      <c r="P113" s="4">
        <v>13</v>
      </c>
      <c r="Q113" s="4">
        <v>5</v>
      </c>
      <c r="R113" s="4">
        <v>5</v>
      </c>
      <c r="S113" s="5">
        <f t="shared" si="8"/>
        <v>0.25</v>
      </c>
      <c r="T113" s="4">
        <v>0.4</v>
      </c>
      <c r="U113" s="4">
        <f t="shared" si="9"/>
        <v>1</v>
      </c>
    </row>
    <row r="114" spans="1:21" x14ac:dyDescent="0.25">
      <c r="A114" t="s">
        <v>66</v>
      </c>
      <c r="B114" s="1" t="s">
        <v>14</v>
      </c>
      <c r="C114" s="1" t="s">
        <v>94</v>
      </c>
      <c r="D114" t="s">
        <v>67</v>
      </c>
      <c r="E114">
        <v>71706</v>
      </c>
      <c r="F114" t="s">
        <v>57</v>
      </c>
      <c r="G114">
        <v>7000</v>
      </c>
      <c r="H114" s="4">
        <v>12</v>
      </c>
      <c r="I114" s="5">
        <f t="shared" si="5"/>
        <v>0.5714285714285714</v>
      </c>
      <c r="J114" s="4">
        <v>13</v>
      </c>
      <c r="K114" s="4">
        <v>2</v>
      </c>
      <c r="L114" s="5">
        <f t="shared" si="6"/>
        <v>9.5238095238095233E-2</v>
      </c>
      <c r="M114" s="4">
        <v>3</v>
      </c>
      <c r="N114" s="4">
        <v>16</v>
      </c>
      <c r="O114" s="5">
        <f t="shared" si="7"/>
        <v>0.8</v>
      </c>
      <c r="P114" s="4">
        <v>16</v>
      </c>
      <c r="Q114" s="4">
        <v>4</v>
      </c>
      <c r="R114" s="4">
        <v>5</v>
      </c>
      <c r="S114" s="5">
        <f t="shared" si="8"/>
        <v>0.2</v>
      </c>
      <c r="T114" s="4">
        <v>0.8</v>
      </c>
      <c r="U114" s="4">
        <f t="shared" si="9"/>
        <v>1.6</v>
      </c>
    </row>
    <row r="115" spans="1:21" x14ac:dyDescent="0.25">
      <c r="A115" t="s">
        <v>78</v>
      </c>
      <c r="B115" s="1" t="s">
        <v>15</v>
      </c>
      <c r="C115" s="1" t="s">
        <v>94</v>
      </c>
      <c r="D115" t="s">
        <v>79</v>
      </c>
      <c r="E115">
        <v>71711</v>
      </c>
      <c r="F115" t="s">
        <v>57</v>
      </c>
      <c r="G115">
        <v>7000</v>
      </c>
      <c r="H115" s="4">
        <v>8</v>
      </c>
      <c r="I115" s="5">
        <f t="shared" si="5"/>
        <v>0.38095238095238093</v>
      </c>
      <c r="J115" s="4">
        <v>8</v>
      </c>
      <c r="K115" s="4">
        <v>2</v>
      </c>
      <c r="L115" s="5">
        <f t="shared" si="6"/>
        <v>9.5238095238095233E-2</v>
      </c>
      <c r="M115" s="4">
        <v>2</v>
      </c>
      <c r="N115" s="4">
        <v>26</v>
      </c>
      <c r="O115" s="5">
        <f t="shared" si="7"/>
        <v>1.3</v>
      </c>
      <c r="P115" s="4">
        <v>27</v>
      </c>
      <c r="Q115" s="4">
        <v>2</v>
      </c>
      <c r="R115" s="4">
        <v>2</v>
      </c>
      <c r="S115" s="5">
        <f t="shared" si="8"/>
        <v>0.1</v>
      </c>
      <c r="T115" s="4">
        <v>1</v>
      </c>
      <c r="U115" s="4">
        <f t="shared" si="9"/>
        <v>2.2999999999999998</v>
      </c>
    </row>
    <row r="116" spans="1:21" x14ac:dyDescent="0.25">
      <c r="A116" t="s">
        <v>81</v>
      </c>
      <c r="B116" s="1" t="s">
        <v>18</v>
      </c>
      <c r="C116" s="1" t="s">
        <v>94</v>
      </c>
      <c r="D116" t="s">
        <v>79</v>
      </c>
      <c r="E116">
        <v>71717</v>
      </c>
      <c r="F116" t="s">
        <v>57</v>
      </c>
      <c r="G116">
        <v>7000</v>
      </c>
      <c r="H116" s="4">
        <v>1</v>
      </c>
      <c r="I116" s="5">
        <f t="shared" si="5"/>
        <v>4.7619047619047616E-2</v>
      </c>
      <c r="J116" s="4">
        <v>1</v>
      </c>
      <c r="K116" s="4">
        <v>0</v>
      </c>
      <c r="L116" s="5">
        <f t="shared" si="6"/>
        <v>0</v>
      </c>
      <c r="M116" s="4">
        <v>0</v>
      </c>
      <c r="N116" s="4">
        <v>5</v>
      </c>
      <c r="O116" s="5">
        <f t="shared" si="7"/>
        <v>0.25</v>
      </c>
      <c r="P116" s="4">
        <v>5</v>
      </c>
      <c r="Q116" s="4">
        <v>0</v>
      </c>
      <c r="R116" s="4">
        <v>0</v>
      </c>
      <c r="S116" s="5">
        <f t="shared" si="8"/>
        <v>0</v>
      </c>
      <c r="T116" s="4">
        <v>0.4</v>
      </c>
      <c r="U116" s="4">
        <f t="shared" si="9"/>
        <v>0.65</v>
      </c>
    </row>
    <row r="117" spans="1:21" x14ac:dyDescent="0.25">
      <c r="A117" t="s">
        <v>81</v>
      </c>
      <c r="B117" s="1" t="s">
        <v>18</v>
      </c>
      <c r="C117" s="1" t="s">
        <v>94</v>
      </c>
      <c r="D117" t="s">
        <v>79</v>
      </c>
      <c r="E117">
        <v>71720</v>
      </c>
      <c r="F117" t="s">
        <v>57</v>
      </c>
      <c r="G117">
        <v>7000</v>
      </c>
      <c r="H117" s="4">
        <v>3</v>
      </c>
      <c r="I117" s="5">
        <f t="shared" si="5"/>
        <v>0.14285714285714285</v>
      </c>
      <c r="J117" s="4">
        <v>3</v>
      </c>
      <c r="K117" s="4">
        <v>0</v>
      </c>
      <c r="L117" s="5">
        <f t="shared" si="6"/>
        <v>0</v>
      </c>
      <c r="M117" s="4">
        <v>0</v>
      </c>
      <c r="N117" s="4">
        <v>7</v>
      </c>
      <c r="O117" s="5">
        <f t="shared" si="7"/>
        <v>0.35</v>
      </c>
      <c r="P117" s="4">
        <v>7</v>
      </c>
      <c r="Q117" s="4">
        <v>1</v>
      </c>
      <c r="R117" s="4">
        <v>1</v>
      </c>
      <c r="S117" s="5">
        <f t="shared" si="8"/>
        <v>0.05</v>
      </c>
      <c r="T117" s="4">
        <v>0.4</v>
      </c>
      <c r="U117" s="4">
        <f t="shared" si="9"/>
        <v>0.75</v>
      </c>
    </row>
    <row r="118" spans="1:21" x14ac:dyDescent="0.25">
      <c r="A118" t="s">
        <v>81</v>
      </c>
      <c r="B118" s="1" t="s">
        <v>18</v>
      </c>
      <c r="C118" s="1" t="s">
        <v>94</v>
      </c>
      <c r="D118" t="s">
        <v>79</v>
      </c>
      <c r="E118">
        <v>71723</v>
      </c>
      <c r="F118" t="s">
        <v>57</v>
      </c>
      <c r="G118">
        <v>7000</v>
      </c>
      <c r="H118" s="4">
        <v>2</v>
      </c>
      <c r="I118" s="5">
        <f t="shared" si="5"/>
        <v>9.5238095238095233E-2</v>
      </c>
      <c r="J118" s="4">
        <v>2</v>
      </c>
      <c r="K118" s="4">
        <v>1</v>
      </c>
      <c r="L118" s="5">
        <f t="shared" si="6"/>
        <v>4.7619047619047616E-2</v>
      </c>
      <c r="M118" s="4">
        <v>1</v>
      </c>
      <c r="N118" s="4">
        <v>6</v>
      </c>
      <c r="O118" s="5">
        <f t="shared" si="7"/>
        <v>0.3</v>
      </c>
      <c r="P118" s="4">
        <v>6</v>
      </c>
      <c r="Q118" s="4">
        <v>1</v>
      </c>
      <c r="R118" s="4">
        <v>3</v>
      </c>
      <c r="S118" s="5">
        <f t="shared" si="8"/>
        <v>0.05</v>
      </c>
      <c r="T118" s="4">
        <v>0.5</v>
      </c>
      <c r="U118" s="4">
        <f t="shared" si="9"/>
        <v>0.8</v>
      </c>
    </row>
    <row r="119" spans="1:21" x14ac:dyDescent="0.25">
      <c r="A119" t="s">
        <v>78</v>
      </c>
      <c r="B119" s="1" t="s">
        <v>13</v>
      </c>
      <c r="C119" s="1" t="s">
        <v>94</v>
      </c>
      <c r="D119" t="s">
        <v>79</v>
      </c>
      <c r="E119">
        <v>71726</v>
      </c>
      <c r="F119" t="s">
        <v>57</v>
      </c>
      <c r="G119">
        <v>7000</v>
      </c>
      <c r="H119" s="4">
        <v>1</v>
      </c>
      <c r="I119" s="5">
        <f t="shared" si="5"/>
        <v>4.7619047619047616E-2</v>
      </c>
      <c r="J119" s="4">
        <v>1</v>
      </c>
      <c r="K119" s="4">
        <v>0</v>
      </c>
      <c r="L119" s="5">
        <f t="shared" si="6"/>
        <v>0</v>
      </c>
      <c r="M119" s="4">
        <v>0</v>
      </c>
      <c r="N119" s="4">
        <v>9</v>
      </c>
      <c r="O119" s="5">
        <f t="shared" si="7"/>
        <v>0.45</v>
      </c>
      <c r="P119" s="4">
        <v>10</v>
      </c>
      <c r="Q119" s="4">
        <v>2</v>
      </c>
      <c r="R119" s="4">
        <v>2</v>
      </c>
      <c r="S119" s="5">
        <f t="shared" si="8"/>
        <v>0.1</v>
      </c>
      <c r="T119" s="4">
        <v>0.2</v>
      </c>
      <c r="U119" s="4">
        <f t="shared" si="9"/>
        <v>0.65</v>
      </c>
    </row>
    <row r="120" spans="1:21" x14ac:dyDescent="0.25">
      <c r="A120" t="s">
        <v>76</v>
      </c>
      <c r="B120" s="1" t="s">
        <v>13</v>
      </c>
      <c r="C120" s="1" t="s">
        <v>94</v>
      </c>
      <c r="D120" t="s">
        <v>77</v>
      </c>
      <c r="E120">
        <v>71729</v>
      </c>
      <c r="F120" t="s">
        <v>57</v>
      </c>
      <c r="G120">
        <v>7000</v>
      </c>
      <c r="H120" s="4">
        <v>5</v>
      </c>
      <c r="I120" s="5">
        <f t="shared" si="5"/>
        <v>0.23809523809523808</v>
      </c>
      <c r="J120" s="4">
        <v>5</v>
      </c>
      <c r="K120" s="4">
        <v>1</v>
      </c>
      <c r="L120" s="5">
        <f t="shared" si="6"/>
        <v>4.7619047619047616E-2</v>
      </c>
      <c r="M120" s="4">
        <v>1</v>
      </c>
      <c r="N120" s="4">
        <v>2</v>
      </c>
      <c r="O120" s="5">
        <f t="shared" si="7"/>
        <v>0.1</v>
      </c>
      <c r="P120" s="4">
        <v>2</v>
      </c>
      <c r="Q120" s="4">
        <v>1</v>
      </c>
      <c r="R120" s="4">
        <v>1</v>
      </c>
      <c r="S120" s="5">
        <f t="shared" si="8"/>
        <v>0.05</v>
      </c>
      <c r="T120" s="4">
        <v>0.4</v>
      </c>
      <c r="U120" s="4">
        <f t="shared" si="9"/>
        <v>0.5</v>
      </c>
    </row>
    <row r="121" spans="1:21" x14ac:dyDescent="0.25">
      <c r="A121" t="s">
        <v>78</v>
      </c>
      <c r="B121" s="1" t="s">
        <v>13</v>
      </c>
      <c r="C121" s="1" t="s">
        <v>94</v>
      </c>
      <c r="D121" t="s">
        <v>79</v>
      </c>
      <c r="E121">
        <v>71732</v>
      </c>
      <c r="F121" t="s">
        <v>57</v>
      </c>
      <c r="G121">
        <v>7000</v>
      </c>
      <c r="H121" s="4">
        <v>9</v>
      </c>
      <c r="I121" s="5">
        <f t="shared" si="5"/>
        <v>0.42857142857142855</v>
      </c>
      <c r="J121" s="4">
        <v>9</v>
      </c>
      <c r="K121" s="4">
        <v>6</v>
      </c>
      <c r="L121" s="5">
        <f t="shared" si="6"/>
        <v>0.2857142857142857</v>
      </c>
      <c r="M121" s="4">
        <v>7</v>
      </c>
      <c r="N121" s="4">
        <v>2</v>
      </c>
      <c r="O121" s="5">
        <f t="shared" si="7"/>
        <v>0.1</v>
      </c>
      <c r="P121" s="4">
        <v>2</v>
      </c>
      <c r="Q121" s="4">
        <v>4</v>
      </c>
      <c r="R121" s="4">
        <v>4</v>
      </c>
      <c r="S121" s="5">
        <f t="shared" si="8"/>
        <v>0.2</v>
      </c>
      <c r="T121" s="4">
        <v>0.4</v>
      </c>
      <c r="U121" s="4">
        <f t="shared" si="9"/>
        <v>0.5</v>
      </c>
    </row>
    <row r="122" spans="1:21" x14ac:dyDescent="0.25">
      <c r="A122" t="s">
        <v>66</v>
      </c>
      <c r="B122" s="1" t="s">
        <v>23</v>
      </c>
      <c r="C122" s="1" t="s">
        <v>94</v>
      </c>
      <c r="D122" t="s">
        <v>67</v>
      </c>
      <c r="E122">
        <v>71735</v>
      </c>
      <c r="F122" t="s">
        <v>57</v>
      </c>
      <c r="G122">
        <v>7000</v>
      </c>
      <c r="H122" s="4">
        <v>9</v>
      </c>
      <c r="I122" s="5">
        <f t="shared" si="5"/>
        <v>0.42857142857142855</v>
      </c>
      <c r="J122" s="4">
        <v>9</v>
      </c>
      <c r="K122" s="4">
        <v>4</v>
      </c>
      <c r="L122" s="5">
        <f t="shared" si="6"/>
        <v>0.19047619047619047</v>
      </c>
      <c r="M122" s="4">
        <v>4</v>
      </c>
      <c r="N122" s="4">
        <v>7</v>
      </c>
      <c r="O122" s="5">
        <f t="shared" si="7"/>
        <v>0.35</v>
      </c>
      <c r="P122" s="4">
        <v>7</v>
      </c>
      <c r="Q122" s="4">
        <v>1</v>
      </c>
      <c r="R122" s="4">
        <v>1</v>
      </c>
      <c r="S122" s="5">
        <f t="shared" si="8"/>
        <v>0.05</v>
      </c>
      <c r="T122" s="4">
        <v>0.1</v>
      </c>
      <c r="U122" s="4">
        <f t="shared" si="9"/>
        <v>0.44999999999999996</v>
      </c>
    </row>
    <row r="123" spans="1:21" x14ac:dyDescent="0.25">
      <c r="A123" t="s">
        <v>76</v>
      </c>
      <c r="B123" s="1" t="s">
        <v>15</v>
      </c>
      <c r="C123" s="1" t="s">
        <v>94</v>
      </c>
      <c r="D123" t="s">
        <v>77</v>
      </c>
      <c r="E123">
        <v>71737</v>
      </c>
      <c r="F123" t="s">
        <v>57</v>
      </c>
      <c r="G123">
        <v>7000</v>
      </c>
      <c r="H123" s="4">
        <v>0</v>
      </c>
      <c r="I123" s="5">
        <f t="shared" si="5"/>
        <v>0</v>
      </c>
      <c r="J123" s="4">
        <v>0</v>
      </c>
      <c r="K123" s="4">
        <v>0</v>
      </c>
      <c r="L123" s="5">
        <f t="shared" si="6"/>
        <v>0</v>
      </c>
      <c r="M123" s="4">
        <v>0</v>
      </c>
      <c r="N123" s="4">
        <v>2</v>
      </c>
      <c r="O123" s="5">
        <f t="shared" si="7"/>
        <v>0.1</v>
      </c>
      <c r="P123" s="4">
        <v>2</v>
      </c>
      <c r="Q123" s="4">
        <v>0</v>
      </c>
      <c r="R123" s="4">
        <v>0</v>
      </c>
      <c r="S123" s="5">
        <f t="shared" si="8"/>
        <v>0</v>
      </c>
      <c r="T123" s="4">
        <v>0.5</v>
      </c>
      <c r="U123" s="4">
        <f t="shared" si="9"/>
        <v>0.6</v>
      </c>
    </row>
    <row r="124" spans="1:21" x14ac:dyDescent="0.25">
      <c r="A124" t="s">
        <v>66</v>
      </c>
      <c r="B124" s="1" t="s">
        <v>14</v>
      </c>
      <c r="C124" s="1" t="s">
        <v>94</v>
      </c>
      <c r="D124" t="s">
        <v>67</v>
      </c>
      <c r="E124">
        <v>71739</v>
      </c>
      <c r="F124" t="s">
        <v>57</v>
      </c>
      <c r="G124">
        <v>7000</v>
      </c>
      <c r="H124" s="4">
        <v>2</v>
      </c>
      <c r="I124" s="5">
        <f t="shared" si="5"/>
        <v>9.5238095238095233E-2</v>
      </c>
      <c r="J124" s="4">
        <v>2</v>
      </c>
      <c r="K124" s="4">
        <v>0</v>
      </c>
      <c r="L124" s="5">
        <f t="shared" si="6"/>
        <v>0</v>
      </c>
      <c r="M124" s="4">
        <v>0</v>
      </c>
      <c r="N124" s="4">
        <v>0</v>
      </c>
      <c r="O124" s="5">
        <f t="shared" si="7"/>
        <v>0</v>
      </c>
      <c r="P124" s="4">
        <v>0</v>
      </c>
      <c r="Q124" s="4">
        <v>0</v>
      </c>
      <c r="R124" s="4">
        <v>0</v>
      </c>
      <c r="S124" s="5">
        <f t="shared" si="8"/>
        <v>0</v>
      </c>
      <c r="T124" s="4">
        <v>0</v>
      </c>
      <c r="U124" s="4">
        <f t="shared" si="9"/>
        <v>0</v>
      </c>
    </row>
    <row r="125" spans="1:21" x14ac:dyDescent="0.25">
      <c r="A125" t="s">
        <v>59</v>
      </c>
      <c r="B125" s="1" t="s">
        <v>10</v>
      </c>
      <c r="C125" s="1" t="s">
        <v>94</v>
      </c>
      <c r="D125" t="s">
        <v>77</v>
      </c>
      <c r="E125">
        <v>72070</v>
      </c>
      <c r="F125" t="s">
        <v>57</v>
      </c>
      <c r="G125">
        <v>7000</v>
      </c>
      <c r="H125" s="4">
        <v>8</v>
      </c>
      <c r="I125" s="5">
        <f t="shared" si="5"/>
        <v>0.38095238095238093</v>
      </c>
      <c r="J125" s="4">
        <v>8</v>
      </c>
      <c r="K125" s="4">
        <v>0</v>
      </c>
      <c r="L125" s="5">
        <f t="shared" si="6"/>
        <v>0</v>
      </c>
      <c r="M125" s="4">
        <v>0</v>
      </c>
      <c r="N125" s="4">
        <v>14</v>
      </c>
      <c r="O125" s="5">
        <f t="shared" si="7"/>
        <v>0.7</v>
      </c>
      <c r="P125" s="4">
        <v>18</v>
      </c>
      <c r="Q125" s="4">
        <v>1</v>
      </c>
      <c r="R125" s="4">
        <v>1</v>
      </c>
      <c r="S125" s="5">
        <f t="shared" si="8"/>
        <v>0.05</v>
      </c>
      <c r="T125" s="4">
        <v>0.9</v>
      </c>
      <c r="U125" s="4">
        <f t="shared" si="9"/>
        <v>1.6</v>
      </c>
    </row>
    <row r="126" spans="1:21" x14ac:dyDescent="0.25">
      <c r="A126" t="s">
        <v>59</v>
      </c>
      <c r="B126" s="1" t="s">
        <v>10</v>
      </c>
      <c r="C126" s="1" t="s">
        <v>94</v>
      </c>
      <c r="D126" t="s">
        <v>77</v>
      </c>
      <c r="E126">
        <v>72072</v>
      </c>
      <c r="F126" t="s">
        <v>57</v>
      </c>
      <c r="G126">
        <v>7000</v>
      </c>
      <c r="H126" s="4">
        <v>32</v>
      </c>
      <c r="I126" s="5">
        <f t="shared" si="5"/>
        <v>1.5238095238095237</v>
      </c>
      <c r="J126" s="4">
        <v>43</v>
      </c>
      <c r="K126" s="4">
        <v>11</v>
      </c>
      <c r="L126" s="5">
        <f t="shared" si="6"/>
        <v>0.52380952380952384</v>
      </c>
      <c r="M126" s="4">
        <v>11</v>
      </c>
      <c r="N126" s="4">
        <v>31</v>
      </c>
      <c r="O126" s="5">
        <f t="shared" si="7"/>
        <v>1.55</v>
      </c>
      <c r="P126" s="4">
        <v>35</v>
      </c>
      <c r="Q126" s="4">
        <v>5</v>
      </c>
      <c r="R126" s="4">
        <v>5</v>
      </c>
      <c r="S126" s="5">
        <f t="shared" si="8"/>
        <v>0.25</v>
      </c>
      <c r="T126" s="4">
        <v>2.7</v>
      </c>
      <c r="U126" s="4">
        <f t="shared" si="9"/>
        <v>4.25</v>
      </c>
    </row>
    <row r="127" spans="1:21" x14ac:dyDescent="0.25">
      <c r="A127" t="s">
        <v>59</v>
      </c>
      <c r="B127" s="1" t="s">
        <v>10</v>
      </c>
      <c r="C127" s="1" t="s">
        <v>94</v>
      </c>
      <c r="D127" t="s">
        <v>77</v>
      </c>
      <c r="E127">
        <v>72074</v>
      </c>
      <c r="F127" t="s">
        <v>57</v>
      </c>
      <c r="G127">
        <v>7000</v>
      </c>
      <c r="H127" s="4">
        <v>2</v>
      </c>
      <c r="I127" s="5">
        <f t="shared" si="5"/>
        <v>9.5238095238095233E-2</v>
      </c>
      <c r="J127" s="4">
        <v>2</v>
      </c>
      <c r="K127" s="4">
        <v>1</v>
      </c>
      <c r="L127" s="5">
        <f t="shared" si="6"/>
        <v>4.7619047619047616E-2</v>
      </c>
      <c r="M127" s="4">
        <v>1</v>
      </c>
      <c r="N127" s="4">
        <v>2</v>
      </c>
      <c r="O127" s="5">
        <f t="shared" si="7"/>
        <v>0.1</v>
      </c>
      <c r="P127" s="4">
        <v>2</v>
      </c>
      <c r="Q127" s="4">
        <v>0</v>
      </c>
      <c r="R127" s="4">
        <v>0</v>
      </c>
      <c r="S127" s="5">
        <f t="shared" si="8"/>
        <v>0</v>
      </c>
      <c r="T127" s="4">
        <v>0.9</v>
      </c>
      <c r="U127" s="4">
        <f t="shared" si="9"/>
        <v>1</v>
      </c>
    </row>
    <row r="128" spans="1:21" x14ac:dyDescent="0.25">
      <c r="A128" t="s">
        <v>59</v>
      </c>
      <c r="B128" s="1" t="s">
        <v>10</v>
      </c>
      <c r="C128" s="1" t="s">
        <v>94</v>
      </c>
      <c r="D128" t="s">
        <v>77</v>
      </c>
      <c r="E128">
        <v>72076</v>
      </c>
      <c r="F128" t="s">
        <v>57</v>
      </c>
      <c r="G128">
        <v>7000</v>
      </c>
      <c r="H128" s="4">
        <v>2</v>
      </c>
      <c r="I128" s="5">
        <f t="shared" si="5"/>
        <v>9.5238095238095233E-2</v>
      </c>
      <c r="J128" s="4">
        <v>2</v>
      </c>
      <c r="K128" s="4">
        <v>0</v>
      </c>
      <c r="L128" s="5">
        <f t="shared" si="6"/>
        <v>0</v>
      </c>
      <c r="M128" s="4">
        <v>0</v>
      </c>
      <c r="N128" s="4">
        <v>6</v>
      </c>
      <c r="O128" s="5">
        <f t="shared" si="7"/>
        <v>0.3</v>
      </c>
      <c r="P128" s="4">
        <v>6</v>
      </c>
      <c r="Q128" s="4">
        <v>0</v>
      </c>
      <c r="R128" s="4">
        <v>0</v>
      </c>
      <c r="S128" s="5">
        <f t="shared" si="8"/>
        <v>0</v>
      </c>
      <c r="T128" s="4">
        <v>1</v>
      </c>
      <c r="U128" s="4">
        <f t="shared" si="9"/>
        <v>1.3</v>
      </c>
    </row>
    <row r="129" spans="1:21" x14ac:dyDescent="0.25">
      <c r="A129" t="s">
        <v>59</v>
      </c>
      <c r="B129" s="1" t="s">
        <v>10</v>
      </c>
      <c r="C129" s="1" t="s">
        <v>94</v>
      </c>
      <c r="D129" t="s">
        <v>77</v>
      </c>
      <c r="E129">
        <v>72108</v>
      </c>
      <c r="F129" t="s">
        <v>57</v>
      </c>
      <c r="G129">
        <v>7000</v>
      </c>
      <c r="H129" s="4">
        <v>13</v>
      </c>
      <c r="I129" s="5">
        <f t="shared" si="5"/>
        <v>0.61904761904761907</v>
      </c>
      <c r="J129" s="4">
        <v>13</v>
      </c>
      <c r="K129" s="4">
        <v>1</v>
      </c>
      <c r="L129" s="5">
        <f t="shared" si="6"/>
        <v>4.7619047619047616E-2</v>
      </c>
      <c r="M129" s="4">
        <v>1</v>
      </c>
      <c r="N129" s="4">
        <v>16</v>
      </c>
      <c r="O129" s="5">
        <f t="shared" si="7"/>
        <v>0.8</v>
      </c>
      <c r="P129" s="4">
        <v>17</v>
      </c>
      <c r="Q129" s="4">
        <v>6</v>
      </c>
      <c r="R129" s="4">
        <v>7</v>
      </c>
      <c r="S129" s="5">
        <f t="shared" si="8"/>
        <v>0.3</v>
      </c>
      <c r="T129" s="4">
        <v>2.8</v>
      </c>
      <c r="U129" s="4">
        <f t="shared" si="9"/>
        <v>3.5999999999999996</v>
      </c>
    </row>
    <row r="130" spans="1:21" x14ac:dyDescent="0.25">
      <c r="A130" t="s">
        <v>59</v>
      </c>
      <c r="B130" s="1" t="s">
        <v>10</v>
      </c>
      <c r="C130" s="1" t="s">
        <v>94</v>
      </c>
      <c r="D130" t="s">
        <v>77</v>
      </c>
      <c r="E130">
        <v>72116</v>
      </c>
      <c r="F130" t="s">
        <v>57</v>
      </c>
      <c r="G130">
        <v>7000</v>
      </c>
      <c r="H130" s="4">
        <v>16</v>
      </c>
      <c r="I130" s="5">
        <f t="shared" ref="I130:I193" si="10">H130/21</f>
        <v>0.76190476190476186</v>
      </c>
      <c r="J130" s="4">
        <v>16</v>
      </c>
      <c r="K130" s="4">
        <v>6</v>
      </c>
      <c r="L130" s="5">
        <f t="shared" ref="L130:L193" si="11">K130/21</f>
        <v>0.2857142857142857</v>
      </c>
      <c r="M130" s="4">
        <v>7</v>
      </c>
      <c r="N130" s="4">
        <v>15</v>
      </c>
      <c r="O130" s="5">
        <f t="shared" ref="O130:O193" si="12">N130/20</f>
        <v>0.75</v>
      </c>
      <c r="P130" s="4">
        <v>15</v>
      </c>
      <c r="Q130" s="4">
        <v>1</v>
      </c>
      <c r="R130" s="4">
        <v>1</v>
      </c>
      <c r="S130" s="5">
        <f t="shared" ref="S130:S193" si="13">Q130/20</f>
        <v>0.05</v>
      </c>
      <c r="T130" s="4">
        <v>1.7</v>
      </c>
      <c r="U130" s="4">
        <f t="shared" si="9"/>
        <v>2.4500000000000002</v>
      </c>
    </row>
    <row r="131" spans="1:21" x14ac:dyDescent="0.25">
      <c r="A131" t="s">
        <v>68</v>
      </c>
      <c r="B131" s="1" t="s">
        <v>16</v>
      </c>
      <c r="C131" s="1" t="s">
        <v>94</v>
      </c>
      <c r="D131" t="s">
        <v>69</v>
      </c>
      <c r="E131">
        <v>72119</v>
      </c>
      <c r="F131" t="s">
        <v>57</v>
      </c>
      <c r="G131">
        <v>7000</v>
      </c>
      <c r="H131" s="4">
        <v>4</v>
      </c>
      <c r="I131" s="5">
        <f t="shared" si="10"/>
        <v>0.19047619047619047</v>
      </c>
      <c r="J131" s="4">
        <v>4</v>
      </c>
      <c r="K131" s="4">
        <v>0</v>
      </c>
      <c r="L131" s="5">
        <f t="shared" si="11"/>
        <v>0</v>
      </c>
      <c r="M131" s="4">
        <v>0</v>
      </c>
      <c r="N131" s="4">
        <v>2</v>
      </c>
      <c r="O131" s="5">
        <f t="shared" si="12"/>
        <v>0.1</v>
      </c>
      <c r="P131" s="4">
        <v>2</v>
      </c>
      <c r="Q131" s="4">
        <v>0</v>
      </c>
      <c r="R131" s="4">
        <v>0</v>
      </c>
      <c r="S131" s="5">
        <f t="shared" si="13"/>
        <v>0</v>
      </c>
      <c r="T131" s="4">
        <v>1</v>
      </c>
      <c r="U131" s="4">
        <f t="shared" ref="U131:U194" si="14">T131+O131</f>
        <v>1.1000000000000001</v>
      </c>
    </row>
    <row r="132" spans="1:21" x14ac:dyDescent="0.25">
      <c r="A132" t="s">
        <v>82</v>
      </c>
      <c r="B132" s="1" t="s">
        <v>11</v>
      </c>
      <c r="C132" s="1" t="s">
        <v>94</v>
      </c>
      <c r="D132" t="s">
        <v>79</v>
      </c>
      <c r="E132">
        <v>72124</v>
      </c>
      <c r="F132" t="s">
        <v>57</v>
      </c>
      <c r="G132">
        <v>7000</v>
      </c>
      <c r="H132" s="4">
        <v>21</v>
      </c>
      <c r="I132" s="5">
        <f t="shared" si="10"/>
        <v>1</v>
      </c>
      <c r="J132" s="4">
        <v>21</v>
      </c>
      <c r="K132" s="4">
        <v>17</v>
      </c>
      <c r="L132" s="5">
        <f t="shared" si="11"/>
        <v>0.80952380952380953</v>
      </c>
      <c r="M132" s="4">
        <v>29</v>
      </c>
      <c r="N132" s="4">
        <v>16</v>
      </c>
      <c r="O132" s="5">
        <f t="shared" si="12"/>
        <v>0.8</v>
      </c>
      <c r="P132" s="4">
        <v>16</v>
      </c>
      <c r="Q132" s="4">
        <v>18</v>
      </c>
      <c r="R132" s="4">
        <v>31</v>
      </c>
      <c r="S132" s="5">
        <f t="shared" si="13"/>
        <v>0.9</v>
      </c>
      <c r="T132" s="4">
        <v>0.3</v>
      </c>
      <c r="U132" s="4">
        <f t="shared" si="14"/>
        <v>1.1000000000000001</v>
      </c>
    </row>
    <row r="133" spans="1:21" x14ac:dyDescent="0.25">
      <c r="A133" t="s">
        <v>82</v>
      </c>
      <c r="B133" s="1" t="s">
        <v>11</v>
      </c>
      <c r="C133" s="1" t="s">
        <v>94</v>
      </c>
      <c r="D133" t="s">
        <v>79</v>
      </c>
      <c r="E133">
        <v>72127</v>
      </c>
      <c r="F133" t="s">
        <v>57</v>
      </c>
      <c r="G133">
        <v>7000</v>
      </c>
      <c r="H133" s="4">
        <v>4</v>
      </c>
      <c r="I133" s="5">
        <f t="shared" si="10"/>
        <v>0.19047619047619047</v>
      </c>
      <c r="J133" s="4">
        <v>4</v>
      </c>
      <c r="K133" s="4">
        <v>0</v>
      </c>
      <c r="L133" s="5">
        <f t="shared" si="11"/>
        <v>0</v>
      </c>
      <c r="M133" s="4">
        <v>0</v>
      </c>
      <c r="N133" s="4">
        <v>5</v>
      </c>
      <c r="O133" s="5">
        <f t="shared" si="12"/>
        <v>0.25</v>
      </c>
      <c r="P133" s="4">
        <v>5</v>
      </c>
      <c r="Q133" s="4">
        <v>0</v>
      </c>
      <c r="R133" s="4">
        <v>0</v>
      </c>
      <c r="S133" s="5">
        <f t="shared" si="13"/>
        <v>0</v>
      </c>
      <c r="T133" s="4">
        <v>0.2</v>
      </c>
      <c r="U133" s="4">
        <f t="shared" si="14"/>
        <v>0.45</v>
      </c>
    </row>
    <row r="134" spans="1:21" x14ac:dyDescent="0.25">
      <c r="A134" t="s">
        <v>59</v>
      </c>
      <c r="B134" s="1" t="s">
        <v>10</v>
      </c>
      <c r="C134" s="1" t="s">
        <v>94</v>
      </c>
      <c r="D134" t="s">
        <v>77</v>
      </c>
      <c r="E134">
        <v>72131</v>
      </c>
      <c r="F134" t="s">
        <v>57</v>
      </c>
      <c r="G134">
        <v>7000</v>
      </c>
      <c r="H134" s="4">
        <v>5</v>
      </c>
      <c r="I134" s="5">
        <f t="shared" si="10"/>
        <v>0.23809523809523808</v>
      </c>
      <c r="J134" s="4">
        <v>6</v>
      </c>
      <c r="K134" s="4">
        <v>4</v>
      </c>
      <c r="L134" s="5">
        <f t="shared" si="11"/>
        <v>0.19047619047619047</v>
      </c>
      <c r="M134" s="4">
        <v>5</v>
      </c>
      <c r="N134" s="4">
        <v>3</v>
      </c>
      <c r="O134" s="5">
        <f t="shared" si="12"/>
        <v>0.15</v>
      </c>
      <c r="P134" s="4">
        <v>3</v>
      </c>
      <c r="Q134" s="4">
        <v>4</v>
      </c>
      <c r="R134" s="4">
        <v>6</v>
      </c>
      <c r="S134" s="5">
        <f t="shared" si="13"/>
        <v>0.2</v>
      </c>
      <c r="T134" s="4">
        <v>0.3</v>
      </c>
      <c r="U134" s="4">
        <f t="shared" si="14"/>
        <v>0.44999999999999996</v>
      </c>
    </row>
    <row r="135" spans="1:21" x14ac:dyDescent="0.25">
      <c r="A135" t="s">
        <v>60</v>
      </c>
      <c r="B135" s="1" t="s">
        <v>17</v>
      </c>
      <c r="C135" s="1" t="s">
        <v>94</v>
      </c>
      <c r="D135" t="s">
        <v>62</v>
      </c>
      <c r="E135">
        <v>72135</v>
      </c>
      <c r="F135" t="s">
        <v>57</v>
      </c>
      <c r="G135">
        <v>7000</v>
      </c>
      <c r="H135" s="4">
        <v>5</v>
      </c>
      <c r="I135" s="5">
        <f t="shared" si="10"/>
        <v>0.23809523809523808</v>
      </c>
      <c r="J135" s="4">
        <v>5</v>
      </c>
      <c r="K135" s="4">
        <v>6</v>
      </c>
      <c r="L135" s="5">
        <f t="shared" si="11"/>
        <v>0.2857142857142857</v>
      </c>
      <c r="M135" s="4">
        <v>6</v>
      </c>
      <c r="N135" s="4">
        <v>6</v>
      </c>
      <c r="O135" s="5">
        <f t="shared" si="12"/>
        <v>0.3</v>
      </c>
      <c r="P135" s="4">
        <v>6</v>
      </c>
      <c r="Q135" s="4">
        <v>2</v>
      </c>
      <c r="R135" s="4">
        <v>2</v>
      </c>
      <c r="S135" s="5">
        <f t="shared" si="13"/>
        <v>0.1</v>
      </c>
      <c r="T135" s="4">
        <v>0.2</v>
      </c>
      <c r="U135" s="4">
        <f t="shared" si="14"/>
        <v>0.5</v>
      </c>
    </row>
    <row r="136" spans="1:21" x14ac:dyDescent="0.25">
      <c r="A136" t="s">
        <v>82</v>
      </c>
      <c r="B136" s="1" t="s">
        <v>11</v>
      </c>
      <c r="C136" s="1" t="s">
        <v>94</v>
      </c>
      <c r="D136" t="s">
        <v>79</v>
      </c>
      <c r="E136">
        <v>72138</v>
      </c>
      <c r="F136" t="s">
        <v>57</v>
      </c>
      <c r="G136">
        <v>7000</v>
      </c>
      <c r="H136" s="4">
        <v>15</v>
      </c>
      <c r="I136" s="5">
        <f t="shared" si="10"/>
        <v>0.7142857142857143</v>
      </c>
      <c r="J136" s="4">
        <v>15</v>
      </c>
      <c r="K136" s="4">
        <v>6</v>
      </c>
      <c r="L136" s="5">
        <f t="shared" si="11"/>
        <v>0.2857142857142857</v>
      </c>
      <c r="M136" s="4">
        <v>9</v>
      </c>
      <c r="N136" s="4">
        <v>11</v>
      </c>
      <c r="O136" s="5">
        <f t="shared" si="12"/>
        <v>0.55000000000000004</v>
      </c>
      <c r="P136" s="4">
        <v>11</v>
      </c>
      <c r="Q136" s="4">
        <v>5</v>
      </c>
      <c r="R136" s="4">
        <v>6</v>
      </c>
      <c r="S136" s="5">
        <f t="shared" si="13"/>
        <v>0.25</v>
      </c>
      <c r="T136" s="4">
        <v>0.21951219512195119</v>
      </c>
      <c r="U136" s="4">
        <f t="shared" si="14"/>
        <v>0.76951219512195124</v>
      </c>
    </row>
    <row r="137" spans="1:21" x14ac:dyDescent="0.25">
      <c r="A137" t="s">
        <v>60</v>
      </c>
      <c r="B137" s="1" t="s">
        <v>19</v>
      </c>
      <c r="C137" s="1" t="s">
        <v>94</v>
      </c>
      <c r="D137" t="s">
        <v>62</v>
      </c>
      <c r="E137">
        <v>72141</v>
      </c>
      <c r="F137" t="s">
        <v>57</v>
      </c>
      <c r="G137">
        <v>7000</v>
      </c>
      <c r="H137" s="4">
        <v>4</v>
      </c>
      <c r="I137" s="5">
        <f t="shared" si="10"/>
        <v>0.19047619047619047</v>
      </c>
      <c r="J137" s="4">
        <v>4</v>
      </c>
      <c r="K137" s="4">
        <v>2</v>
      </c>
      <c r="L137" s="5">
        <f t="shared" si="11"/>
        <v>9.5238095238095233E-2</v>
      </c>
      <c r="M137" s="4">
        <v>2</v>
      </c>
      <c r="N137" s="4">
        <v>1</v>
      </c>
      <c r="O137" s="5">
        <f t="shared" si="12"/>
        <v>0.05</v>
      </c>
      <c r="P137" s="4">
        <v>1</v>
      </c>
      <c r="Q137" s="4">
        <v>1</v>
      </c>
      <c r="R137" s="4">
        <v>1</v>
      </c>
      <c r="S137" s="5">
        <f t="shared" si="13"/>
        <v>0.05</v>
      </c>
      <c r="T137" s="4">
        <v>0.14634146341463417</v>
      </c>
      <c r="U137" s="4">
        <f t="shared" si="14"/>
        <v>0.19634146341463415</v>
      </c>
    </row>
    <row r="138" spans="1:21" x14ac:dyDescent="0.25">
      <c r="A138" t="s">
        <v>60</v>
      </c>
      <c r="B138" s="1" t="s">
        <v>10</v>
      </c>
      <c r="C138" s="1" t="s">
        <v>94</v>
      </c>
      <c r="D138" t="s">
        <v>62</v>
      </c>
      <c r="E138">
        <v>72144</v>
      </c>
      <c r="F138" t="s">
        <v>57</v>
      </c>
      <c r="G138">
        <v>7000</v>
      </c>
      <c r="H138" s="4">
        <v>5</v>
      </c>
      <c r="I138" s="5">
        <f t="shared" si="10"/>
        <v>0.23809523809523808</v>
      </c>
      <c r="J138" s="4">
        <v>5</v>
      </c>
      <c r="K138" s="4">
        <v>5</v>
      </c>
      <c r="L138" s="5">
        <f t="shared" si="11"/>
        <v>0.23809523809523808</v>
      </c>
      <c r="M138" s="4">
        <v>5</v>
      </c>
      <c r="N138" s="4">
        <v>2</v>
      </c>
      <c r="O138" s="5">
        <f t="shared" si="12"/>
        <v>0.1</v>
      </c>
      <c r="P138" s="4">
        <v>2</v>
      </c>
      <c r="Q138" s="4">
        <v>1</v>
      </c>
      <c r="R138" s="4">
        <v>2</v>
      </c>
      <c r="S138" s="5">
        <f t="shared" si="13"/>
        <v>0.05</v>
      </c>
      <c r="T138" s="4">
        <v>0.46341463414634143</v>
      </c>
      <c r="U138" s="4">
        <f t="shared" si="14"/>
        <v>0.56341463414634141</v>
      </c>
    </row>
    <row r="139" spans="1:21" x14ac:dyDescent="0.25">
      <c r="A139" t="s">
        <v>59</v>
      </c>
      <c r="B139" s="1" t="s">
        <v>10</v>
      </c>
      <c r="C139" s="1" t="s">
        <v>94</v>
      </c>
      <c r="D139" t="s">
        <v>77</v>
      </c>
      <c r="E139">
        <v>72147</v>
      </c>
      <c r="F139" t="s">
        <v>57</v>
      </c>
      <c r="G139">
        <v>7000</v>
      </c>
      <c r="H139" s="4">
        <v>6</v>
      </c>
      <c r="I139" s="5">
        <f t="shared" si="10"/>
        <v>0.2857142857142857</v>
      </c>
      <c r="J139" s="4">
        <v>6</v>
      </c>
      <c r="K139" s="4">
        <v>1</v>
      </c>
      <c r="L139" s="5">
        <f t="shared" si="11"/>
        <v>4.7619047619047616E-2</v>
      </c>
      <c r="M139" s="4">
        <v>1</v>
      </c>
      <c r="N139" s="4">
        <v>6</v>
      </c>
      <c r="O139" s="5">
        <f t="shared" si="12"/>
        <v>0.3</v>
      </c>
      <c r="P139" s="4">
        <v>7</v>
      </c>
      <c r="Q139" s="4">
        <v>1</v>
      </c>
      <c r="R139" s="4">
        <v>1</v>
      </c>
      <c r="S139" s="5">
        <f t="shared" si="13"/>
        <v>0.05</v>
      </c>
      <c r="T139" s="4">
        <v>0.48780487804878059</v>
      </c>
      <c r="U139" s="4">
        <f t="shared" si="14"/>
        <v>0.78780487804878052</v>
      </c>
    </row>
    <row r="140" spans="1:21" x14ac:dyDescent="0.25">
      <c r="A140" t="s">
        <v>59</v>
      </c>
      <c r="B140" s="1" t="s">
        <v>10</v>
      </c>
      <c r="C140" s="1" t="s">
        <v>94</v>
      </c>
      <c r="D140" t="s">
        <v>77</v>
      </c>
      <c r="E140">
        <v>72149</v>
      </c>
      <c r="F140" t="s">
        <v>57</v>
      </c>
      <c r="G140">
        <v>7000</v>
      </c>
      <c r="H140" s="4">
        <v>1</v>
      </c>
      <c r="I140" s="5">
        <f t="shared" si="10"/>
        <v>4.7619047619047616E-2</v>
      </c>
      <c r="J140" s="4">
        <v>1</v>
      </c>
      <c r="K140" s="4">
        <v>0</v>
      </c>
      <c r="L140" s="5">
        <f t="shared" si="11"/>
        <v>0</v>
      </c>
      <c r="M140" s="4">
        <v>0</v>
      </c>
      <c r="N140" s="4">
        <v>1</v>
      </c>
      <c r="O140" s="5">
        <f t="shared" si="12"/>
        <v>0.05</v>
      </c>
      <c r="P140" s="4">
        <v>1</v>
      </c>
      <c r="Q140" s="4">
        <v>0</v>
      </c>
      <c r="R140" s="4">
        <v>0</v>
      </c>
      <c r="S140" s="5">
        <f t="shared" si="13"/>
        <v>0</v>
      </c>
      <c r="T140" s="4">
        <v>0.1951219512195122</v>
      </c>
      <c r="U140" s="4">
        <f t="shared" si="14"/>
        <v>0.24512195121951219</v>
      </c>
    </row>
    <row r="141" spans="1:21" x14ac:dyDescent="0.25">
      <c r="A141" t="s">
        <v>58</v>
      </c>
      <c r="B141" s="1" t="s">
        <v>26</v>
      </c>
      <c r="C141" s="1" t="s">
        <v>94</v>
      </c>
      <c r="D141" t="s">
        <v>72</v>
      </c>
      <c r="E141">
        <v>72202</v>
      </c>
      <c r="F141" t="s">
        <v>57</v>
      </c>
      <c r="G141">
        <v>7000</v>
      </c>
      <c r="H141" s="4">
        <v>10</v>
      </c>
      <c r="I141" s="5">
        <f t="shared" si="10"/>
        <v>0.47619047619047616</v>
      </c>
      <c r="J141" s="4">
        <v>10</v>
      </c>
      <c r="K141" s="4">
        <v>23</v>
      </c>
      <c r="L141" s="5">
        <f t="shared" si="11"/>
        <v>1.0952380952380953</v>
      </c>
      <c r="M141" s="4">
        <v>1904</v>
      </c>
      <c r="N141" s="4">
        <v>17</v>
      </c>
      <c r="O141" s="5">
        <f t="shared" si="12"/>
        <v>0.85</v>
      </c>
      <c r="P141" s="4">
        <v>17</v>
      </c>
      <c r="Q141" s="4">
        <v>24</v>
      </c>
      <c r="R141" s="4">
        <v>1725</v>
      </c>
      <c r="S141" s="5">
        <f t="shared" si="13"/>
        <v>1.2</v>
      </c>
      <c r="T141" s="4">
        <v>2.5853658536585367</v>
      </c>
      <c r="U141" s="4">
        <f t="shared" si="14"/>
        <v>3.4353658536585368</v>
      </c>
    </row>
    <row r="142" spans="1:21" x14ac:dyDescent="0.25">
      <c r="A142" t="s">
        <v>58</v>
      </c>
      <c r="B142" s="1" t="s">
        <v>26</v>
      </c>
      <c r="C142" s="1" t="s">
        <v>94</v>
      </c>
      <c r="D142" t="s">
        <v>72</v>
      </c>
      <c r="E142">
        <v>72213</v>
      </c>
      <c r="F142" t="s">
        <v>57</v>
      </c>
      <c r="G142">
        <v>7000</v>
      </c>
      <c r="H142" s="4">
        <v>5</v>
      </c>
      <c r="I142" s="5">
        <f t="shared" si="10"/>
        <v>0.23809523809523808</v>
      </c>
      <c r="J142" s="4">
        <v>5</v>
      </c>
      <c r="K142" s="4">
        <v>0</v>
      </c>
      <c r="L142" s="5">
        <f t="shared" si="11"/>
        <v>0</v>
      </c>
      <c r="M142" s="4">
        <v>0</v>
      </c>
      <c r="N142" s="4">
        <v>15</v>
      </c>
      <c r="O142" s="5">
        <f t="shared" si="12"/>
        <v>0.75</v>
      </c>
      <c r="P142" s="4">
        <v>16</v>
      </c>
      <c r="Q142" s="4">
        <v>0</v>
      </c>
      <c r="R142" s="4">
        <v>0</v>
      </c>
      <c r="S142" s="5">
        <f t="shared" si="13"/>
        <v>0</v>
      </c>
      <c r="T142" s="4">
        <v>1.5853658536585364</v>
      </c>
      <c r="U142" s="4">
        <f t="shared" si="14"/>
        <v>2.3353658536585362</v>
      </c>
    </row>
    <row r="143" spans="1:21" x14ac:dyDescent="0.25">
      <c r="A143" t="s">
        <v>58</v>
      </c>
      <c r="B143" s="1" t="s">
        <v>26</v>
      </c>
      <c r="C143" s="1" t="s">
        <v>94</v>
      </c>
      <c r="D143" t="s">
        <v>72</v>
      </c>
      <c r="E143">
        <v>72218</v>
      </c>
      <c r="F143" t="s">
        <v>57</v>
      </c>
      <c r="G143">
        <v>7000</v>
      </c>
      <c r="H143" s="4">
        <v>2</v>
      </c>
      <c r="I143" s="5">
        <f t="shared" si="10"/>
        <v>9.5238095238095233E-2</v>
      </c>
      <c r="J143" s="4">
        <v>2</v>
      </c>
      <c r="K143" s="4">
        <v>0</v>
      </c>
      <c r="L143" s="5">
        <f t="shared" si="11"/>
        <v>0</v>
      </c>
      <c r="M143" s="4">
        <v>0</v>
      </c>
      <c r="N143" s="4">
        <v>7</v>
      </c>
      <c r="O143" s="5">
        <f t="shared" si="12"/>
        <v>0.35</v>
      </c>
      <c r="P143" s="4">
        <v>7</v>
      </c>
      <c r="Q143" s="4">
        <v>0</v>
      </c>
      <c r="R143" s="4">
        <v>0</v>
      </c>
      <c r="S143" s="5">
        <f t="shared" si="13"/>
        <v>0</v>
      </c>
      <c r="T143" s="4">
        <v>0.85365853658536583</v>
      </c>
      <c r="U143" s="4">
        <f t="shared" si="14"/>
        <v>1.2036585365853658</v>
      </c>
    </row>
    <row r="144" spans="1:21" x14ac:dyDescent="0.25">
      <c r="A144" t="s">
        <v>58</v>
      </c>
      <c r="B144" s="1" t="s">
        <v>26</v>
      </c>
      <c r="C144" s="1" t="s">
        <v>94</v>
      </c>
      <c r="D144" t="s">
        <v>72</v>
      </c>
      <c r="E144">
        <v>72221</v>
      </c>
      <c r="F144" t="s">
        <v>57</v>
      </c>
      <c r="G144">
        <v>7000</v>
      </c>
      <c r="H144" s="4">
        <v>4</v>
      </c>
      <c r="I144" s="5">
        <f t="shared" si="10"/>
        <v>0.19047619047619047</v>
      </c>
      <c r="J144" s="4">
        <v>4</v>
      </c>
      <c r="K144" s="4">
        <v>5</v>
      </c>
      <c r="L144" s="5">
        <f t="shared" si="11"/>
        <v>0.23809523809523808</v>
      </c>
      <c r="M144" s="4">
        <v>7</v>
      </c>
      <c r="N144" s="4">
        <v>3</v>
      </c>
      <c r="O144" s="5">
        <f t="shared" si="12"/>
        <v>0.15</v>
      </c>
      <c r="P144" s="4">
        <v>3</v>
      </c>
      <c r="Q144" s="4">
        <v>6</v>
      </c>
      <c r="R144" s="4">
        <v>7</v>
      </c>
      <c r="S144" s="5">
        <f t="shared" si="13"/>
        <v>0.3</v>
      </c>
      <c r="T144" s="4">
        <v>0.6097560975609756</v>
      </c>
      <c r="U144" s="4">
        <f t="shared" si="14"/>
        <v>0.75975609756097562</v>
      </c>
    </row>
    <row r="145" spans="1:21" x14ac:dyDescent="0.25">
      <c r="A145" t="s">
        <v>58</v>
      </c>
      <c r="B145" s="1" t="s">
        <v>26</v>
      </c>
      <c r="C145" s="1" t="s">
        <v>94</v>
      </c>
      <c r="D145" t="s">
        <v>72</v>
      </c>
      <c r="E145">
        <v>72224</v>
      </c>
      <c r="F145" t="s">
        <v>57</v>
      </c>
      <c r="G145">
        <v>7000</v>
      </c>
      <c r="H145" s="4">
        <v>4</v>
      </c>
      <c r="I145" s="5">
        <f t="shared" si="10"/>
        <v>0.19047619047619047</v>
      </c>
      <c r="J145" s="4">
        <v>4</v>
      </c>
      <c r="K145" s="4">
        <v>0</v>
      </c>
      <c r="L145" s="5">
        <f t="shared" si="11"/>
        <v>0</v>
      </c>
      <c r="M145" s="4">
        <v>0</v>
      </c>
      <c r="N145" s="4">
        <v>1</v>
      </c>
      <c r="O145" s="5">
        <f t="shared" si="12"/>
        <v>0.05</v>
      </c>
      <c r="P145" s="4">
        <v>1</v>
      </c>
      <c r="Q145" s="4">
        <v>0</v>
      </c>
      <c r="R145" s="4">
        <v>0</v>
      </c>
      <c r="S145" s="5">
        <f t="shared" si="13"/>
        <v>0</v>
      </c>
      <c r="T145" s="4">
        <v>0.12195121951219512</v>
      </c>
      <c r="U145" s="4">
        <f t="shared" si="14"/>
        <v>0.17195121951219511</v>
      </c>
    </row>
    <row r="146" spans="1:21" x14ac:dyDescent="0.25">
      <c r="A146" t="s">
        <v>58</v>
      </c>
      <c r="B146" s="1" t="s">
        <v>27</v>
      </c>
      <c r="C146" s="1" t="s">
        <v>94</v>
      </c>
      <c r="D146" t="s">
        <v>72</v>
      </c>
      <c r="E146">
        <v>72226</v>
      </c>
      <c r="F146" t="s">
        <v>57</v>
      </c>
      <c r="G146">
        <v>7000</v>
      </c>
      <c r="H146" s="4">
        <v>5</v>
      </c>
      <c r="I146" s="5">
        <f t="shared" si="10"/>
        <v>0.23809523809523808</v>
      </c>
      <c r="J146" s="4">
        <v>5</v>
      </c>
      <c r="K146" s="4">
        <v>0</v>
      </c>
      <c r="L146" s="5">
        <f t="shared" si="11"/>
        <v>0</v>
      </c>
      <c r="M146" s="4">
        <v>0</v>
      </c>
      <c r="N146" s="4">
        <v>2</v>
      </c>
      <c r="O146" s="5">
        <f t="shared" si="12"/>
        <v>0.1</v>
      </c>
      <c r="P146" s="4">
        <v>2</v>
      </c>
      <c r="Q146" s="4">
        <v>0</v>
      </c>
      <c r="R146" s="4">
        <v>0</v>
      </c>
      <c r="S146" s="5">
        <f t="shared" si="13"/>
        <v>0</v>
      </c>
      <c r="T146" s="4">
        <v>0.63414634146341464</v>
      </c>
      <c r="U146" s="4">
        <f t="shared" si="14"/>
        <v>0.73414634146341462</v>
      </c>
    </row>
    <row r="147" spans="1:21" x14ac:dyDescent="0.25">
      <c r="A147" t="s">
        <v>58</v>
      </c>
      <c r="B147" s="1" t="s">
        <v>26</v>
      </c>
      <c r="C147" s="1" t="s">
        <v>94</v>
      </c>
      <c r="D147" t="s">
        <v>72</v>
      </c>
      <c r="E147">
        <v>72227</v>
      </c>
      <c r="F147" t="s">
        <v>57</v>
      </c>
      <c r="G147">
        <v>7000</v>
      </c>
      <c r="H147" s="4">
        <v>1</v>
      </c>
      <c r="I147" s="5">
        <f t="shared" si="10"/>
        <v>4.7619047619047616E-2</v>
      </c>
      <c r="J147" s="4">
        <v>1</v>
      </c>
      <c r="K147" s="4">
        <v>0</v>
      </c>
      <c r="L147" s="5">
        <f t="shared" si="11"/>
        <v>0</v>
      </c>
      <c r="M147" s="4">
        <v>0</v>
      </c>
      <c r="N147" s="4">
        <v>2</v>
      </c>
      <c r="O147" s="5">
        <f t="shared" si="12"/>
        <v>0.1</v>
      </c>
      <c r="P147" s="4">
        <v>2</v>
      </c>
      <c r="Q147" s="4">
        <v>0</v>
      </c>
      <c r="R147" s="4">
        <v>0</v>
      </c>
      <c r="S147" s="5">
        <f t="shared" si="13"/>
        <v>0</v>
      </c>
      <c r="T147" s="4">
        <v>2.4390243902439025E-2</v>
      </c>
      <c r="U147" s="4">
        <f t="shared" si="14"/>
        <v>0.12439024390243902</v>
      </c>
    </row>
    <row r="148" spans="1:21" x14ac:dyDescent="0.25">
      <c r="A148" t="s">
        <v>58</v>
      </c>
      <c r="B148" s="1" t="s">
        <v>26</v>
      </c>
      <c r="C148" s="1" t="s">
        <v>94</v>
      </c>
      <c r="D148" t="s">
        <v>72</v>
      </c>
      <c r="E148">
        <v>72229</v>
      </c>
      <c r="F148" t="s">
        <v>57</v>
      </c>
      <c r="G148">
        <v>7000</v>
      </c>
      <c r="H148" s="4">
        <v>0</v>
      </c>
      <c r="I148" s="5">
        <f t="shared" si="10"/>
        <v>0</v>
      </c>
      <c r="J148" s="4">
        <v>0</v>
      </c>
      <c r="K148" s="4">
        <v>0</v>
      </c>
      <c r="L148" s="5">
        <f t="shared" si="11"/>
        <v>0</v>
      </c>
      <c r="M148" s="4">
        <v>0</v>
      </c>
      <c r="N148" s="4">
        <v>0</v>
      </c>
      <c r="O148" s="5">
        <f t="shared" si="12"/>
        <v>0</v>
      </c>
      <c r="P148" s="4">
        <v>0</v>
      </c>
      <c r="Q148" s="4">
        <v>0</v>
      </c>
      <c r="R148" s="4">
        <v>0</v>
      </c>
      <c r="S148" s="5">
        <f t="shared" si="13"/>
        <v>0</v>
      </c>
      <c r="T148" s="4">
        <v>9.7560975609756101E-2</v>
      </c>
      <c r="U148" s="4">
        <f t="shared" si="14"/>
        <v>9.7560975609756101E-2</v>
      </c>
    </row>
    <row r="149" spans="1:21" x14ac:dyDescent="0.25">
      <c r="A149" t="s">
        <v>70</v>
      </c>
      <c r="B149" s="1" t="s">
        <v>12</v>
      </c>
      <c r="C149" s="1" t="s">
        <v>94</v>
      </c>
      <c r="D149" t="s">
        <v>69</v>
      </c>
      <c r="E149">
        <v>72555</v>
      </c>
      <c r="F149" t="s">
        <v>57</v>
      </c>
      <c r="G149">
        <v>7000</v>
      </c>
      <c r="H149" s="4">
        <v>46</v>
      </c>
      <c r="I149" s="5">
        <f t="shared" si="10"/>
        <v>2.1904761904761907</v>
      </c>
      <c r="J149" s="4">
        <v>48</v>
      </c>
      <c r="K149" s="4">
        <v>33</v>
      </c>
      <c r="L149" s="5">
        <f t="shared" si="11"/>
        <v>1.5714285714285714</v>
      </c>
      <c r="M149" s="4">
        <v>44</v>
      </c>
      <c r="N149" s="4">
        <v>45</v>
      </c>
      <c r="O149" s="5">
        <f t="shared" si="12"/>
        <v>2.25</v>
      </c>
      <c r="P149" s="4">
        <v>52</v>
      </c>
      <c r="Q149" s="4">
        <v>32</v>
      </c>
      <c r="R149" s="4">
        <v>39</v>
      </c>
      <c r="S149" s="5">
        <f t="shared" si="13"/>
        <v>1.6</v>
      </c>
      <c r="T149" s="4">
        <v>1.878048780487805</v>
      </c>
      <c r="U149" s="4">
        <f t="shared" si="14"/>
        <v>4.1280487804878048</v>
      </c>
    </row>
    <row r="150" spans="1:21" x14ac:dyDescent="0.25">
      <c r="A150" t="s">
        <v>70</v>
      </c>
      <c r="B150" s="1" t="s">
        <v>12</v>
      </c>
      <c r="C150" s="1" t="s">
        <v>94</v>
      </c>
      <c r="D150" t="s">
        <v>69</v>
      </c>
      <c r="E150">
        <v>72574</v>
      </c>
      <c r="F150" t="s">
        <v>57</v>
      </c>
      <c r="G150">
        <v>7000</v>
      </c>
      <c r="H150" s="4">
        <v>23</v>
      </c>
      <c r="I150" s="5">
        <f t="shared" si="10"/>
        <v>1.0952380952380953</v>
      </c>
      <c r="J150" s="4">
        <v>25</v>
      </c>
      <c r="K150" s="4">
        <v>11</v>
      </c>
      <c r="L150" s="5">
        <f t="shared" si="11"/>
        <v>0.52380952380952384</v>
      </c>
      <c r="M150" s="4">
        <v>12</v>
      </c>
      <c r="N150" s="4">
        <v>25</v>
      </c>
      <c r="O150" s="5">
        <f t="shared" si="12"/>
        <v>1.25</v>
      </c>
      <c r="P150" s="4">
        <v>32</v>
      </c>
      <c r="Q150" s="4">
        <v>9</v>
      </c>
      <c r="R150" s="4">
        <v>11</v>
      </c>
      <c r="S150" s="5">
        <f t="shared" si="13"/>
        <v>0.45</v>
      </c>
      <c r="T150" s="4">
        <v>0.73170731707317072</v>
      </c>
      <c r="U150" s="4">
        <f t="shared" si="14"/>
        <v>1.9817073170731707</v>
      </c>
    </row>
    <row r="151" spans="1:21" x14ac:dyDescent="0.25">
      <c r="A151" t="s">
        <v>70</v>
      </c>
      <c r="B151" s="1" t="s">
        <v>12</v>
      </c>
      <c r="C151" s="1" t="s">
        <v>94</v>
      </c>
      <c r="D151" t="s">
        <v>69</v>
      </c>
      <c r="E151">
        <v>72581</v>
      </c>
      <c r="F151" t="s">
        <v>57</v>
      </c>
      <c r="G151">
        <v>7000</v>
      </c>
      <c r="H151" s="4">
        <v>13</v>
      </c>
      <c r="I151" s="5">
        <f t="shared" si="10"/>
        <v>0.61904761904761907</v>
      </c>
      <c r="J151" s="4">
        <v>13</v>
      </c>
      <c r="K151" s="4">
        <v>5</v>
      </c>
      <c r="L151" s="5">
        <f t="shared" si="11"/>
        <v>0.23809523809523808</v>
      </c>
      <c r="M151" s="4">
        <v>5</v>
      </c>
      <c r="N151" s="4">
        <v>8</v>
      </c>
      <c r="O151" s="5">
        <f t="shared" si="12"/>
        <v>0.4</v>
      </c>
      <c r="P151" s="4">
        <v>8</v>
      </c>
      <c r="Q151" s="4">
        <v>6</v>
      </c>
      <c r="R151" s="4">
        <v>6</v>
      </c>
      <c r="S151" s="5">
        <f t="shared" si="13"/>
        <v>0.3</v>
      </c>
      <c r="T151" s="4">
        <v>1.024390243902439</v>
      </c>
      <c r="U151" s="4">
        <f t="shared" si="14"/>
        <v>1.424390243902439</v>
      </c>
    </row>
    <row r="152" spans="1:21" x14ac:dyDescent="0.25">
      <c r="A152" t="s">
        <v>70</v>
      </c>
      <c r="B152" s="1" t="s">
        <v>12</v>
      </c>
      <c r="C152" s="1" t="s">
        <v>94</v>
      </c>
      <c r="D152" t="s">
        <v>69</v>
      </c>
      <c r="E152">
        <v>72585</v>
      </c>
      <c r="F152" t="s">
        <v>57</v>
      </c>
      <c r="G152">
        <v>7000</v>
      </c>
      <c r="H152" s="4">
        <v>10</v>
      </c>
      <c r="I152" s="5">
        <f t="shared" si="10"/>
        <v>0.47619047619047616</v>
      </c>
      <c r="J152" s="4">
        <v>10</v>
      </c>
      <c r="K152" s="4">
        <v>11</v>
      </c>
      <c r="L152" s="5">
        <f t="shared" si="11"/>
        <v>0.52380952380952384</v>
      </c>
      <c r="M152" s="4">
        <v>11</v>
      </c>
      <c r="N152" s="4">
        <v>12</v>
      </c>
      <c r="O152" s="5">
        <f t="shared" si="12"/>
        <v>0.6</v>
      </c>
      <c r="P152" s="4">
        <v>12</v>
      </c>
      <c r="Q152" s="4">
        <v>12</v>
      </c>
      <c r="R152" s="4">
        <v>13</v>
      </c>
      <c r="S152" s="5">
        <f t="shared" si="13"/>
        <v>0.6</v>
      </c>
      <c r="T152" s="4">
        <v>0.21951219512195122</v>
      </c>
      <c r="U152" s="4">
        <f t="shared" si="14"/>
        <v>0.81951219512195117</v>
      </c>
    </row>
    <row r="153" spans="1:21" x14ac:dyDescent="0.25">
      <c r="A153" t="s">
        <v>84</v>
      </c>
      <c r="B153" s="1" t="s">
        <v>7</v>
      </c>
      <c r="C153" s="1" t="s">
        <v>94</v>
      </c>
      <c r="D153" t="s">
        <v>75</v>
      </c>
      <c r="E153">
        <v>72622</v>
      </c>
      <c r="F153" t="s">
        <v>57</v>
      </c>
      <c r="G153">
        <v>7000</v>
      </c>
      <c r="H153" s="4">
        <v>31</v>
      </c>
      <c r="I153" s="5">
        <f t="shared" si="10"/>
        <v>1.4761904761904763</v>
      </c>
      <c r="J153" s="4">
        <v>32</v>
      </c>
      <c r="K153" s="4">
        <v>10</v>
      </c>
      <c r="L153" s="5">
        <f t="shared" si="11"/>
        <v>0.47619047619047616</v>
      </c>
      <c r="M153" s="4">
        <v>13</v>
      </c>
      <c r="N153" s="4">
        <v>31</v>
      </c>
      <c r="O153" s="5">
        <f t="shared" si="12"/>
        <v>1.55</v>
      </c>
      <c r="P153" s="4">
        <v>31</v>
      </c>
      <c r="Q153" s="4">
        <v>9</v>
      </c>
      <c r="R153" s="4">
        <v>13</v>
      </c>
      <c r="S153" s="5">
        <f t="shared" si="13"/>
        <v>0.45</v>
      </c>
      <c r="T153" s="4">
        <v>4.3170731707317076</v>
      </c>
      <c r="U153" s="4">
        <f t="shared" si="14"/>
        <v>5.8670731707317074</v>
      </c>
    </row>
    <row r="154" spans="1:21" x14ac:dyDescent="0.25">
      <c r="A154" t="s">
        <v>60</v>
      </c>
      <c r="B154" s="1" t="s">
        <v>19</v>
      </c>
      <c r="C154" s="1" t="s">
        <v>94</v>
      </c>
      <c r="D154" t="s">
        <v>62</v>
      </c>
      <c r="E154">
        <v>72631</v>
      </c>
      <c r="F154" t="s">
        <v>57</v>
      </c>
      <c r="G154">
        <v>7000</v>
      </c>
      <c r="H154" s="4">
        <v>10</v>
      </c>
      <c r="I154" s="5">
        <f t="shared" si="10"/>
        <v>0.47619047619047616</v>
      </c>
      <c r="J154" s="4">
        <v>11</v>
      </c>
      <c r="K154" s="4">
        <v>1</v>
      </c>
      <c r="L154" s="5">
        <f t="shared" si="11"/>
        <v>4.7619047619047616E-2</v>
      </c>
      <c r="M154" s="4">
        <v>1</v>
      </c>
      <c r="N154" s="4">
        <v>12</v>
      </c>
      <c r="O154" s="5">
        <f t="shared" si="12"/>
        <v>0.6</v>
      </c>
      <c r="P154" s="4">
        <v>12</v>
      </c>
      <c r="Q154" s="4">
        <v>2</v>
      </c>
      <c r="R154" s="4">
        <v>2</v>
      </c>
      <c r="S154" s="5">
        <f t="shared" si="13"/>
        <v>0.1</v>
      </c>
      <c r="T154" s="4">
        <v>0.8292682926829269</v>
      </c>
      <c r="U154" s="4">
        <f t="shared" si="14"/>
        <v>1.4292682926829268</v>
      </c>
    </row>
    <row r="155" spans="1:21" x14ac:dyDescent="0.25">
      <c r="A155" t="s">
        <v>84</v>
      </c>
      <c r="B155" s="1" t="s">
        <v>7</v>
      </c>
      <c r="C155" s="1" t="s">
        <v>94</v>
      </c>
      <c r="D155" t="s">
        <v>75</v>
      </c>
      <c r="E155">
        <v>72636</v>
      </c>
      <c r="F155" t="s">
        <v>57</v>
      </c>
      <c r="G155">
        <v>7000</v>
      </c>
      <c r="H155" s="4">
        <v>6</v>
      </c>
      <c r="I155" s="5">
        <f t="shared" si="10"/>
        <v>0.2857142857142857</v>
      </c>
      <c r="J155" s="4">
        <v>6</v>
      </c>
      <c r="K155" s="4">
        <v>15</v>
      </c>
      <c r="L155" s="5">
        <f t="shared" si="11"/>
        <v>0.7142857142857143</v>
      </c>
      <c r="M155" s="4">
        <v>20</v>
      </c>
      <c r="N155" s="4">
        <v>6</v>
      </c>
      <c r="O155" s="5">
        <f t="shared" si="12"/>
        <v>0.3</v>
      </c>
      <c r="P155" s="4">
        <v>6</v>
      </c>
      <c r="Q155" s="4">
        <v>8</v>
      </c>
      <c r="R155" s="4">
        <v>12</v>
      </c>
      <c r="S155" s="5">
        <f t="shared" si="13"/>
        <v>0.4</v>
      </c>
      <c r="T155" s="4">
        <v>1.6341463414634148</v>
      </c>
      <c r="U155" s="4">
        <f t="shared" si="14"/>
        <v>1.9341463414634148</v>
      </c>
    </row>
    <row r="156" spans="1:21" x14ac:dyDescent="0.25">
      <c r="A156" t="s">
        <v>84</v>
      </c>
      <c r="B156" s="1" t="s">
        <v>6</v>
      </c>
      <c r="C156" s="1" t="s">
        <v>94</v>
      </c>
      <c r="D156" t="s">
        <v>75</v>
      </c>
      <c r="E156">
        <v>72644</v>
      </c>
      <c r="F156" t="s">
        <v>57</v>
      </c>
      <c r="G156">
        <v>7000</v>
      </c>
      <c r="H156" s="4">
        <v>9</v>
      </c>
      <c r="I156" s="5">
        <f t="shared" si="10"/>
        <v>0.42857142857142855</v>
      </c>
      <c r="J156" s="4">
        <v>11</v>
      </c>
      <c r="K156" s="4">
        <v>11</v>
      </c>
      <c r="L156" s="5">
        <f t="shared" si="11"/>
        <v>0.52380952380952384</v>
      </c>
      <c r="M156" s="4">
        <v>14</v>
      </c>
      <c r="N156" s="4">
        <v>6</v>
      </c>
      <c r="O156" s="5">
        <f t="shared" si="12"/>
        <v>0.3</v>
      </c>
      <c r="P156" s="4">
        <v>7</v>
      </c>
      <c r="Q156" s="4">
        <v>2</v>
      </c>
      <c r="R156" s="4">
        <v>2</v>
      </c>
      <c r="S156" s="5">
        <f t="shared" si="13"/>
        <v>0.1</v>
      </c>
      <c r="T156" s="4">
        <v>0.14634146341463414</v>
      </c>
      <c r="U156" s="4">
        <f t="shared" si="14"/>
        <v>0.4463414634146341</v>
      </c>
    </row>
    <row r="157" spans="1:21" x14ac:dyDescent="0.25">
      <c r="A157" t="s">
        <v>84</v>
      </c>
      <c r="B157" s="1" t="s">
        <v>7</v>
      </c>
      <c r="C157" s="1" t="s">
        <v>94</v>
      </c>
      <c r="D157" t="s">
        <v>75</v>
      </c>
      <c r="E157">
        <v>72649</v>
      </c>
      <c r="F157" t="s">
        <v>57</v>
      </c>
      <c r="G157">
        <v>7000</v>
      </c>
      <c r="H157" s="4">
        <v>12</v>
      </c>
      <c r="I157" s="5">
        <f t="shared" si="10"/>
        <v>0.5714285714285714</v>
      </c>
      <c r="J157" s="4">
        <v>12</v>
      </c>
      <c r="K157" s="4">
        <v>0</v>
      </c>
      <c r="L157" s="5">
        <f t="shared" si="11"/>
        <v>0</v>
      </c>
      <c r="M157" s="4">
        <v>0</v>
      </c>
      <c r="N157" s="4">
        <v>8</v>
      </c>
      <c r="O157" s="5">
        <f t="shared" si="12"/>
        <v>0.4</v>
      </c>
      <c r="P157" s="4">
        <v>9</v>
      </c>
      <c r="Q157" s="4">
        <v>1</v>
      </c>
      <c r="R157" s="4">
        <v>1</v>
      </c>
      <c r="S157" s="5">
        <f t="shared" si="13"/>
        <v>0.05</v>
      </c>
      <c r="T157" s="4">
        <v>0.21951219512195125</v>
      </c>
      <c r="U157" s="4">
        <f t="shared" si="14"/>
        <v>0.61951219512195133</v>
      </c>
    </row>
    <row r="158" spans="1:21" x14ac:dyDescent="0.25">
      <c r="A158" t="s">
        <v>70</v>
      </c>
      <c r="B158" s="1" t="s">
        <v>12</v>
      </c>
      <c r="C158" s="1" t="s">
        <v>94</v>
      </c>
      <c r="D158" t="s">
        <v>69</v>
      </c>
      <c r="E158">
        <v>72654</v>
      </c>
      <c r="F158" t="s">
        <v>57</v>
      </c>
      <c r="G158">
        <v>7000</v>
      </c>
      <c r="H158" s="4">
        <v>6</v>
      </c>
      <c r="I158" s="5">
        <f t="shared" si="10"/>
        <v>0.2857142857142857</v>
      </c>
      <c r="J158" s="4">
        <v>6</v>
      </c>
      <c r="K158" s="4">
        <v>0</v>
      </c>
      <c r="L158" s="5">
        <f t="shared" si="11"/>
        <v>0</v>
      </c>
      <c r="M158" s="4">
        <v>0</v>
      </c>
      <c r="N158" s="4">
        <v>3</v>
      </c>
      <c r="O158" s="5">
        <f t="shared" si="12"/>
        <v>0.15</v>
      </c>
      <c r="P158" s="4">
        <v>3</v>
      </c>
      <c r="Q158" s="4">
        <v>0</v>
      </c>
      <c r="R158" s="4">
        <v>0</v>
      </c>
      <c r="S158" s="5">
        <f t="shared" si="13"/>
        <v>0</v>
      </c>
      <c r="T158" s="4">
        <v>0.1951219512195122</v>
      </c>
      <c r="U158" s="4">
        <f t="shared" si="14"/>
        <v>0.34512195121951217</v>
      </c>
    </row>
    <row r="159" spans="1:21" x14ac:dyDescent="0.25">
      <c r="A159" t="s">
        <v>70</v>
      </c>
      <c r="B159" s="1" t="s">
        <v>7</v>
      </c>
      <c r="C159" s="1" t="s">
        <v>94</v>
      </c>
      <c r="D159" t="s">
        <v>69</v>
      </c>
      <c r="E159">
        <v>72655</v>
      </c>
      <c r="F159" t="s">
        <v>57</v>
      </c>
      <c r="G159">
        <v>7000</v>
      </c>
      <c r="H159" s="4">
        <v>2</v>
      </c>
      <c r="I159" s="5">
        <f t="shared" si="10"/>
        <v>9.5238095238095233E-2</v>
      </c>
      <c r="J159" s="4">
        <v>2</v>
      </c>
      <c r="K159" s="4">
        <v>1</v>
      </c>
      <c r="L159" s="5">
        <f t="shared" si="11"/>
        <v>4.7619047619047616E-2</v>
      </c>
      <c r="M159" s="4">
        <v>1</v>
      </c>
      <c r="N159" s="4">
        <v>0</v>
      </c>
      <c r="O159" s="5">
        <f t="shared" si="12"/>
        <v>0</v>
      </c>
      <c r="P159" s="4">
        <v>0</v>
      </c>
      <c r="Q159" s="4">
        <v>0</v>
      </c>
      <c r="R159" s="4">
        <v>0</v>
      </c>
      <c r="S159" s="5">
        <f t="shared" si="13"/>
        <v>0</v>
      </c>
      <c r="T159" s="4">
        <v>4.878048780487805E-2</v>
      </c>
      <c r="U159" s="4">
        <f t="shared" si="14"/>
        <v>4.878048780487805E-2</v>
      </c>
    </row>
    <row r="160" spans="1:21" x14ac:dyDescent="0.25">
      <c r="A160" t="s">
        <v>70</v>
      </c>
      <c r="B160" s="1" t="s">
        <v>12</v>
      </c>
      <c r="C160" s="1" t="s">
        <v>94</v>
      </c>
      <c r="D160" t="s">
        <v>69</v>
      </c>
      <c r="E160">
        <v>72657</v>
      </c>
      <c r="F160" t="s">
        <v>57</v>
      </c>
      <c r="G160">
        <v>7000</v>
      </c>
      <c r="H160" s="4">
        <v>0</v>
      </c>
      <c r="I160" s="5">
        <f t="shared" si="10"/>
        <v>0</v>
      </c>
      <c r="J160" s="4">
        <v>0</v>
      </c>
      <c r="K160" s="4">
        <v>0</v>
      </c>
      <c r="L160" s="5">
        <f t="shared" si="11"/>
        <v>0</v>
      </c>
      <c r="M160" s="4">
        <v>0</v>
      </c>
      <c r="N160" s="4">
        <v>0</v>
      </c>
      <c r="O160" s="5">
        <f t="shared" si="12"/>
        <v>0</v>
      </c>
      <c r="P160" s="4">
        <v>0</v>
      </c>
      <c r="Q160" s="4">
        <v>0</v>
      </c>
      <c r="R160" s="4">
        <v>0</v>
      </c>
      <c r="S160" s="5">
        <f t="shared" si="13"/>
        <v>0</v>
      </c>
      <c r="T160" s="4">
        <v>0.17073170731707316</v>
      </c>
      <c r="U160" s="4">
        <f t="shared" si="14"/>
        <v>0.17073170731707316</v>
      </c>
    </row>
    <row r="161" spans="1:21" x14ac:dyDescent="0.25">
      <c r="A161" t="s">
        <v>70</v>
      </c>
      <c r="B161" s="1" t="s">
        <v>12</v>
      </c>
      <c r="C161" s="1" t="s">
        <v>94</v>
      </c>
      <c r="D161" t="s">
        <v>69</v>
      </c>
      <c r="E161">
        <v>72658</v>
      </c>
      <c r="F161" t="s">
        <v>57</v>
      </c>
      <c r="G161">
        <v>7000</v>
      </c>
      <c r="H161" s="4">
        <v>0</v>
      </c>
      <c r="I161" s="5">
        <f t="shared" si="10"/>
        <v>0</v>
      </c>
      <c r="J161" s="4">
        <v>0</v>
      </c>
      <c r="K161" s="4">
        <v>3</v>
      </c>
      <c r="L161" s="5">
        <f t="shared" si="11"/>
        <v>0.14285714285714285</v>
      </c>
      <c r="M161" s="4">
        <v>3</v>
      </c>
      <c r="N161" s="4">
        <v>1</v>
      </c>
      <c r="O161" s="5">
        <f t="shared" si="12"/>
        <v>0.05</v>
      </c>
      <c r="P161" s="4">
        <v>1</v>
      </c>
      <c r="Q161" s="4">
        <v>3</v>
      </c>
      <c r="R161" s="4">
        <v>4</v>
      </c>
      <c r="S161" s="5">
        <f t="shared" si="13"/>
        <v>0.15</v>
      </c>
      <c r="T161" s="4">
        <v>0.43902439024390244</v>
      </c>
      <c r="U161" s="4">
        <f t="shared" si="14"/>
        <v>0.48902439024390243</v>
      </c>
    </row>
    <row r="162" spans="1:21" x14ac:dyDescent="0.25">
      <c r="A162" t="s">
        <v>70</v>
      </c>
      <c r="B162" s="1" t="s">
        <v>7</v>
      </c>
      <c r="C162" s="1" t="s">
        <v>94</v>
      </c>
      <c r="D162" t="s">
        <v>69</v>
      </c>
      <c r="E162">
        <v>72660</v>
      </c>
      <c r="F162" t="s">
        <v>57</v>
      </c>
      <c r="G162">
        <v>7000</v>
      </c>
      <c r="H162" s="4">
        <v>0</v>
      </c>
      <c r="I162" s="5">
        <f t="shared" si="10"/>
        <v>0</v>
      </c>
      <c r="J162" s="4">
        <v>0</v>
      </c>
      <c r="K162" s="4">
        <v>0</v>
      </c>
      <c r="L162" s="5">
        <f t="shared" si="11"/>
        <v>0</v>
      </c>
      <c r="M162" s="4">
        <v>0</v>
      </c>
      <c r="N162" s="4">
        <v>3</v>
      </c>
      <c r="O162" s="5">
        <f t="shared" si="12"/>
        <v>0.15</v>
      </c>
      <c r="P162" s="4">
        <v>3</v>
      </c>
      <c r="Q162" s="4">
        <v>0</v>
      </c>
      <c r="R162" s="4">
        <v>0</v>
      </c>
      <c r="S162" s="5">
        <f t="shared" si="13"/>
        <v>0</v>
      </c>
      <c r="T162" s="4">
        <v>0.26829268292682928</v>
      </c>
      <c r="U162" s="4">
        <f t="shared" si="14"/>
        <v>0.41829268292682931</v>
      </c>
    </row>
    <row r="163" spans="1:21" x14ac:dyDescent="0.25">
      <c r="A163" t="s">
        <v>70</v>
      </c>
      <c r="B163" s="1" t="s">
        <v>12</v>
      </c>
      <c r="C163" s="1" t="s">
        <v>94</v>
      </c>
      <c r="D163" t="s">
        <v>69</v>
      </c>
      <c r="E163">
        <v>72661</v>
      </c>
      <c r="F163" t="s">
        <v>57</v>
      </c>
      <c r="G163">
        <v>7000</v>
      </c>
      <c r="H163" s="4">
        <v>0</v>
      </c>
      <c r="I163" s="5">
        <f t="shared" si="10"/>
        <v>0</v>
      </c>
      <c r="J163" s="4">
        <v>0</v>
      </c>
      <c r="K163" s="4">
        <v>0</v>
      </c>
      <c r="L163" s="5">
        <f t="shared" si="11"/>
        <v>0</v>
      </c>
      <c r="M163" s="4">
        <v>0</v>
      </c>
      <c r="N163" s="4">
        <v>2</v>
      </c>
      <c r="O163" s="5">
        <f t="shared" si="12"/>
        <v>0.1</v>
      </c>
      <c r="P163" s="4">
        <v>2</v>
      </c>
      <c r="Q163" s="4">
        <v>1</v>
      </c>
      <c r="R163" s="4">
        <v>1</v>
      </c>
      <c r="S163" s="5">
        <f t="shared" si="13"/>
        <v>0.05</v>
      </c>
      <c r="T163" s="4">
        <v>0.26829268292682928</v>
      </c>
      <c r="U163" s="4">
        <f t="shared" si="14"/>
        <v>0.36829268292682926</v>
      </c>
    </row>
    <row r="164" spans="1:21" x14ac:dyDescent="0.25">
      <c r="A164" t="s">
        <v>70</v>
      </c>
      <c r="B164" s="1" t="s">
        <v>7</v>
      </c>
      <c r="C164" s="1" t="s">
        <v>94</v>
      </c>
      <c r="D164" t="s">
        <v>69</v>
      </c>
      <c r="E164">
        <v>72663</v>
      </c>
      <c r="F164" t="s">
        <v>57</v>
      </c>
      <c r="G164">
        <v>7000</v>
      </c>
      <c r="H164" s="4">
        <v>4</v>
      </c>
      <c r="I164" s="5">
        <f t="shared" si="10"/>
        <v>0.19047619047619047</v>
      </c>
      <c r="J164" s="4">
        <v>4</v>
      </c>
      <c r="K164" s="4">
        <v>0</v>
      </c>
      <c r="L164" s="5">
        <f t="shared" si="11"/>
        <v>0</v>
      </c>
      <c r="M164" s="4">
        <v>0</v>
      </c>
      <c r="N164" s="4">
        <v>2</v>
      </c>
      <c r="O164" s="5">
        <f t="shared" si="12"/>
        <v>0.1</v>
      </c>
      <c r="P164" s="4">
        <v>2</v>
      </c>
      <c r="Q164" s="4">
        <v>0</v>
      </c>
      <c r="R164" s="4">
        <v>0</v>
      </c>
      <c r="S164" s="5">
        <f t="shared" si="13"/>
        <v>0</v>
      </c>
      <c r="T164" s="4">
        <v>0.29268292682926833</v>
      </c>
      <c r="U164" s="4">
        <f t="shared" si="14"/>
        <v>0.39268292682926831</v>
      </c>
    </row>
    <row r="165" spans="1:21" x14ac:dyDescent="0.25">
      <c r="A165" t="s">
        <v>70</v>
      </c>
      <c r="B165" s="1" t="s">
        <v>12</v>
      </c>
      <c r="C165" s="1" t="s">
        <v>94</v>
      </c>
      <c r="D165" t="s">
        <v>69</v>
      </c>
      <c r="E165">
        <v>72664</v>
      </c>
      <c r="F165" t="s">
        <v>57</v>
      </c>
      <c r="G165">
        <v>7000</v>
      </c>
      <c r="H165" s="4">
        <v>1</v>
      </c>
      <c r="I165" s="5">
        <f t="shared" si="10"/>
        <v>4.7619047619047616E-2</v>
      </c>
      <c r="J165" s="4">
        <v>1</v>
      </c>
      <c r="K165" s="4">
        <v>0</v>
      </c>
      <c r="L165" s="5">
        <f t="shared" si="11"/>
        <v>0</v>
      </c>
      <c r="M165" s="4">
        <v>0</v>
      </c>
      <c r="N165" s="4">
        <v>2</v>
      </c>
      <c r="O165" s="5">
        <f t="shared" si="12"/>
        <v>0.1</v>
      </c>
      <c r="P165" s="4">
        <v>2</v>
      </c>
      <c r="Q165" s="4">
        <v>1</v>
      </c>
      <c r="R165" s="4">
        <v>1</v>
      </c>
      <c r="S165" s="5">
        <f t="shared" si="13"/>
        <v>0.05</v>
      </c>
      <c r="T165" s="4">
        <v>7.3170731707317083E-2</v>
      </c>
      <c r="U165" s="4">
        <f t="shared" si="14"/>
        <v>0.17317073170731709</v>
      </c>
    </row>
    <row r="166" spans="1:21" x14ac:dyDescent="0.25">
      <c r="A166" t="s">
        <v>70</v>
      </c>
      <c r="B166" s="1" t="s">
        <v>7</v>
      </c>
      <c r="C166" s="1" t="s">
        <v>94</v>
      </c>
      <c r="D166" t="s">
        <v>69</v>
      </c>
      <c r="E166">
        <v>72666</v>
      </c>
      <c r="F166" t="s">
        <v>57</v>
      </c>
      <c r="G166">
        <v>7000</v>
      </c>
      <c r="H166" s="4">
        <v>0</v>
      </c>
      <c r="I166" s="5">
        <f t="shared" si="10"/>
        <v>0</v>
      </c>
      <c r="J166" s="4">
        <v>0</v>
      </c>
      <c r="K166" s="4">
        <v>3</v>
      </c>
      <c r="L166" s="5">
        <f t="shared" si="11"/>
        <v>0.14285714285714285</v>
      </c>
      <c r="M166" s="4">
        <v>3</v>
      </c>
      <c r="N166" s="4">
        <v>2</v>
      </c>
      <c r="O166" s="5">
        <f t="shared" si="12"/>
        <v>0.1</v>
      </c>
      <c r="P166" s="4">
        <v>2</v>
      </c>
      <c r="Q166" s="4">
        <v>0</v>
      </c>
      <c r="R166" s="4">
        <v>0</v>
      </c>
      <c r="S166" s="5">
        <f t="shared" si="13"/>
        <v>0</v>
      </c>
      <c r="T166" s="4">
        <v>0.14634146341463417</v>
      </c>
      <c r="U166" s="4">
        <f t="shared" si="14"/>
        <v>0.24634146341463417</v>
      </c>
    </row>
    <row r="167" spans="1:21" x14ac:dyDescent="0.25">
      <c r="A167" t="s">
        <v>70</v>
      </c>
      <c r="B167" s="1" t="s">
        <v>12</v>
      </c>
      <c r="C167" s="1" t="s">
        <v>94</v>
      </c>
      <c r="D167" t="s">
        <v>69</v>
      </c>
      <c r="E167">
        <v>72667</v>
      </c>
      <c r="F167" t="s">
        <v>57</v>
      </c>
      <c r="G167">
        <v>7000</v>
      </c>
      <c r="H167" s="4">
        <v>0</v>
      </c>
      <c r="I167" s="5">
        <f t="shared" si="10"/>
        <v>0</v>
      </c>
      <c r="J167" s="4">
        <v>0</v>
      </c>
      <c r="K167" s="4">
        <v>0</v>
      </c>
      <c r="L167" s="5">
        <f t="shared" si="11"/>
        <v>0</v>
      </c>
      <c r="M167" s="4">
        <v>0</v>
      </c>
      <c r="N167" s="4">
        <v>0</v>
      </c>
      <c r="O167" s="5">
        <f t="shared" si="12"/>
        <v>0</v>
      </c>
      <c r="P167" s="4">
        <v>0</v>
      </c>
      <c r="Q167" s="4">
        <v>0</v>
      </c>
      <c r="R167" s="4">
        <v>0</v>
      </c>
      <c r="S167" s="5">
        <f t="shared" si="13"/>
        <v>0</v>
      </c>
      <c r="T167" s="4">
        <v>2.4390243902439025E-2</v>
      </c>
      <c r="U167" s="4">
        <f t="shared" si="14"/>
        <v>2.4390243902439025E-2</v>
      </c>
    </row>
    <row r="168" spans="1:21" x14ac:dyDescent="0.25">
      <c r="A168" t="s">
        <v>84</v>
      </c>
      <c r="B168" s="1" t="s">
        <v>6</v>
      </c>
      <c r="C168" s="1" t="s">
        <v>94</v>
      </c>
      <c r="D168" t="s">
        <v>75</v>
      </c>
      <c r="E168">
        <v>72669</v>
      </c>
      <c r="F168" t="s">
        <v>57</v>
      </c>
      <c r="G168">
        <v>7000</v>
      </c>
      <c r="H168" s="4">
        <v>5</v>
      </c>
      <c r="I168" s="5">
        <f t="shared" si="10"/>
        <v>0.23809523809523808</v>
      </c>
      <c r="J168" s="4">
        <v>5</v>
      </c>
      <c r="K168" s="4">
        <v>2</v>
      </c>
      <c r="L168" s="5">
        <f t="shared" si="11"/>
        <v>9.5238095238095233E-2</v>
      </c>
      <c r="M168" s="4">
        <v>2</v>
      </c>
      <c r="N168" s="4">
        <v>1</v>
      </c>
      <c r="O168" s="5">
        <f t="shared" si="12"/>
        <v>0.05</v>
      </c>
      <c r="P168" s="4">
        <v>1</v>
      </c>
      <c r="Q168" s="4">
        <v>2</v>
      </c>
      <c r="R168" s="4">
        <v>2</v>
      </c>
      <c r="S168" s="5">
        <f t="shared" si="13"/>
        <v>0.1</v>
      </c>
      <c r="T168" s="4">
        <v>0.51219512195121952</v>
      </c>
      <c r="U168" s="4">
        <f t="shared" si="14"/>
        <v>0.56219512195121957</v>
      </c>
    </row>
    <row r="169" spans="1:21" x14ac:dyDescent="0.25">
      <c r="A169" t="s">
        <v>82</v>
      </c>
      <c r="B169" s="1" t="s">
        <v>11</v>
      </c>
      <c r="C169" s="1" t="s">
        <v>94</v>
      </c>
      <c r="D169" t="s">
        <v>79</v>
      </c>
      <c r="E169">
        <v>72760</v>
      </c>
      <c r="F169" t="s">
        <v>57</v>
      </c>
      <c r="G169">
        <v>7000</v>
      </c>
      <c r="H169" s="4">
        <v>7</v>
      </c>
      <c r="I169" s="5">
        <f t="shared" si="10"/>
        <v>0.33333333333333331</v>
      </c>
      <c r="J169" s="4">
        <v>7</v>
      </c>
      <c r="K169" s="4">
        <v>3</v>
      </c>
      <c r="L169" s="5">
        <f t="shared" si="11"/>
        <v>0.14285714285714285</v>
      </c>
      <c r="M169" s="4">
        <v>3</v>
      </c>
      <c r="N169" s="4">
        <v>5</v>
      </c>
      <c r="O169" s="5">
        <f t="shared" si="12"/>
        <v>0.25</v>
      </c>
      <c r="P169" s="4">
        <v>5</v>
      </c>
      <c r="Q169" s="4">
        <v>2</v>
      </c>
      <c r="R169" s="4">
        <v>2</v>
      </c>
      <c r="S169" s="5">
        <f t="shared" si="13"/>
        <v>0.1</v>
      </c>
      <c r="T169" s="4">
        <v>0.53658536585365857</v>
      </c>
      <c r="U169" s="4">
        <f t="shared" si="14"/>
        <v>0.78658536585365857</v>
      </c>
    </row>
    <row r="170" spans="1:21" x14ac:dyDescent="0.25">
      <c r="A170" t="s">
        <v>82</v>
      </c>
      <c r="B170" s="1" t="s">
        <v>11</v>
      </c>
      <c r="C170" s="1" t="s">
        <v>94</v>
      </c>
      <c r="D170" t="s">
        <v>79</v>
      </c>
      <c r="E170">
        <v>72762</v>
      </c>
      <c r="F170" t="s">
        <v>57</v>
      </c>
      <c r="G170">
        <v>7000</v>
      </c>
      <c r="H170" s="4">
        <v>4</v>
      </c>
      <c r="I170" s="5">
        <f t="shared" si="10"/>
        <v>0.19047619047619047</v>
      </c>
      <c r="J170" s="4">
        <v>4</v>
      </c>
      <c r="K170" s="4">
        <v>0</v>
      </c>
      <c r="L170" s="5">
        <f t="shared" si="11"/>
        <v>0</v>
      </c>
      <c r="M170" s="4">
        <v>0</v>
      </c>
      <c r="N170" s="4">
        <v>5</v>
      </c>
      <c r="O170" s="5">
        <f t="shared" si="12"/>
        <v>0.25</v>
      </c>
      <c r="P170" s="4">
        <v>5</v>
      </c>
      <c r="Q170" s="4">
        <v>0</v>
      </c>
      <c r="R170" s="4">
        <v>0</v>
      </c>
      <c r="S170" s="5">
        <f t="shared" si="13"/>
        <v>0</v>
      </c>
      <c r="T170" s="4">
        <v>1.024390243902439</v>
      </c>
      <c r="U170" s="4">
        <f t="shared" si="14"/>
        <v>1.274390243902439</v>
      </c>
    </row>
    <row r="171" spans="1:21" x14ac:dyDescent="0.25">
      <c r="A171" t="s">
        <v>82</v>
      </c>
      <c r="B171" s="1" t="s">
        <v>11</v>
      </c>
      <c r="C171" s="1" t="s">
        <v>94</v>
      </c>
      <c r="D171" t="s">
        <v>79</v>
      </c>
      <c r="E171">
        <v>72764</v>
      </c>
      <c r="F171" t="s">
        <v>57</v>
      </c>
      <c r="G171">
        <v>7000</v>
      </c>
      <c r="H171" s="4">
        <v>8</v>
      </c>
      <c r="I171" s="5">
        <f t="shared" si="10"/>
        <v>0.38095238095238093</v>
      </c>
      <c r="J171" s="4">
        <v>8</v>
      </c>
      <c r="K171" s="4">
        <v>9</v>
      </c>
      <c r="L171" s="5">
        <f t="shared" si="11"/>
        <v>0.42857142857142855</v>
      </c>
      <c r="M171" s="4">
        <v>11</v>
      </c>
      <c r="N171" s="4">
        <v>9</v>
      </c>
      <c r="O171" s="5">
        <f t="shared" si="12"/>
        <v>0.45</v>
      </c>
      <c r="P171" s="4">
        <v>9</v>
      </c>
      <c r="Q171" s="4">
        <v>5</v>
      </c>
      <c r="R171" s="4">
        <v>6</v>
      </c>
      <c r="S171" s="5">
        <f t="shared" si="13"/>
        <v>0.25</v>
      </c>
      <c r="T171" s="4">
        <v>1.1707317073170733</v>
      </c>
      <c r="U171" s="4">
        <f t="shared" si="14"/>
        <v>1.6207317073170733</v>
      </c>
    </row>
    <row r="172" spans="1:21" x14ac:dyDescent="0.25">
      <c r="A172" t="s">
        <v>82</v>
      </c>
      <c r="B172" s="1" t="s">
        <v>12</v>
      </c>
      <c r="C172" s="1" t="s">
        <v>94</v>
      </c>
      <c r="D172" t="s">
        <v>79</v>
      </c>
      <c r="E172">
        <v>72766</v>
      </c>
      <c r="F172" t="s">
        <v>57</v>
      </c>
      <c r="G172">
        <v>7000</v>
      </c>
      <c r="H172" s="4">
        <v>36</v>
      </c>
      <c r="I172" s="5">
        <f t="shared" si="10"/>
        <v>1.7142857142857142</v>
      </c>
      <c r="J172" s="4">
        <v>36</v>
      </c>
      <c r="K172" s="4">
        <v>9</v>
      </c>
      <c r="L172" s="5">
        <f t="shared" si="11"/>
        <v>0.42857142857142855</v>
      </c>
      <c r="M172" s="4">
        <v>9</v>
      </c>
      <c r="N172" s="4">
        <v>23</v>
      </c>
      <c r="O172" s="5">
        <f t="shared" si="12"/>
        <v>1.1499999999999999</v>
      </c>
      <c r="P172" s="4">
        <v>24</v>
      </c>
      <c r="Q172" s="4">
        <v>9</v>
      </c>
      <c r="R172" s="4">
        <v>10</v>
      </c>
      <c r="S172" s="5">
        <f t="shared" si="13"/>
        <v>0.45</v>
      </c>
      <c r="T172" s="4">
        <v>2.0975609756097562</v>
      </c>
      <c r="U172" s="4">
        <f t="shared" si="14"/>
        <v>3.2475609756097561</v>
      </c>
    </row>
    <row r="173" spans="1:21" x14ac:dyDescent="0.25">
      <c r="A173" t="s">
        <v>82</v>
      </c>
      <c r="B173" s="1" t="s">
        <v>11</v>
      </c>
      <c r="C173" s="1" t="s">
        <v>94</v>
      </c>
      <c r="D173" t="s">
        <v>79</v>
      </c>
      <c r="E173">
        <v>72768</v>
      </c>
      <c r="F173" t="s">
        <v>57</v>
      </c>
      <c r="G173">
        <v>7000</v>
      </c>
      <c r="H173" s="4">
        <v>8</v>
      </c>
      <c r="I173" s="5">
        <f t="shared" si="10"/>
        <v>0.38095238095238093</v>
      </c>
      <c r="J173" s="4">
        <v>8</v>
      </c>
      <c r="K173" s="4">
        <v>0</v>
      </c>
      <c r="L173" s="5">
        <f t="shared" si="11"/>
        <v>0</v>
      </c>
      <c r="M173" s="4">
        <v>0</v>
      </c>
      <c r="N173" s="4">
        <v>9</v>
      </c>
      <c r="O173" s="5">
        <f t="shared" si="12"/>
        <v>0.45</v>
      </c>
      <c r="P173" s="4">
        <v>9</v>
      </c>
      <c r="Q173" s="4">
        <v>0</v>
      </c>
      <c r="R173" s="4">
        <v>0</v>
      </c>
      <c r="S173" s="5">
        <f t="shared" si="13"/>
        <v>0</v>
      </c>
      <c r="T173" s="4">
        <v>0.68292682926829273</v>
      </c>
      <c r="U173" s="4">
        <f t="shared" si="14"/>
        <v>1.1329268292682928</v>
      </c>
    </row>
    <row r="174" spans="1:21" x14ac:dyDescent="0.25">
      <c r="A174" t="s">
        <v>82</v>
      </c>
      <c r="B174" s="1" t="s">
        <v>11</v>
      </c>
      <c r="C174" s="1" t="s">
        <v>94</v>
      </c>
      <c r="D174" t="s">
        <v>79</v>
      </c>
      <c r="E174">
        <v>72770</v>
      </c>
      <c r="F174" t="s">
        <v>57</v>
      </c>
      <c r="G174">
        <v>7000</v>
      </c>
      <c r="H174" s="4">
        <v>34</v>
      </c>
      <c r="I174" s="5">
        <f t="shared" si="10"/>
        <v>1.6190476190476191</v>
      </c>
      <c r="J174" s="4">
        <v>42</v>
      </c>
      <c r="K174" s="4">
        <v>18</v>
      </c>
      <c r="L174" s="5">
        <f t="shared" si="11"/>
        <v>0.8571428571428571</v>
      </c>
      <c r="M174" s="4">
        <v>20</v>
      </c>
      <c r="N174" s="4">
        <v>34</v>
      </c>
      <c r="O174" s="5">
        <f t="shared" si="12"/>
        <v>1.7</v>
      </c>
      <c r="P174" s="4">
        <v>42</v>
      </c>
      <c r="Q174" s="4">
        <v>22</v>
      </c>
      <c r="R174" s="4">
        <v>28</v>
      </c>
      <c r="S174" s="5">
        <f t="shared" si="13"/>
        <v>1.1000000000000001</v>
      </c>
      <c r="T174" s="4">
        <v>3.2439024390243905</v>
      </c>
      <c r="U174" s="4">
        <f t="shared" si="14"/>
        <v>4.9439024390243906</v>
      </c>
    </row>
    <row r="175" spans="1:21" x14ac:dyDescent="0.25">
      <c r="A175" t="s">
        <v>82</v>
      </c>
      <c r="B175" s="1" t="s">
        <v>11</v>
      </c>
      <c r="C175" s="1" t="s">
        <v>94</v>
      </c>
      <c r="D175" t="s">
        <v>79</v>
      </c>
      <c r="E175">
        <v>72793</v>
      </c>
      <c r="F175" t="s">
        <v>57</v>
      </c>
      <c r="G175">
        <v>7000</v>
      </c>
      <c r="H175" s="4">
        <v>29</v>
      </c>
      <c r="I175" s="5">
        <f t="shared" si="10"/>
        <v>1.3809523809523809</v>
      </c>
      <c r="J175" s="4">
        <v>32</v>
      </c>
      <c r="K175" s="4">
        <v>6</v>
      </c>
      <c r="L175" s="5">
        <f t="shared" si="11"/>
        <v>0.2857142857142857</v>
      </c>
      <c r="M175" s="4">
        <v>6</v>
      </c>
      <c r="N175" s="4">
        <v>33</v>
      </c>
      <c r="O175" s="5">
        <f t="shared" si="12"/>
        <v>1.65</v>
      </c>
      <c r="P175" s="4">
        <v>35</v>
      </c>
      <c r="Q175" s="4">
        <v>8</v>
      </c>
      <c r="R175" s="4">
        <v>9</v>
      </c>
      <c r="S175" s="5">
        <f t="shared" si="13"/>
        <v>0.4</v>
      </c>
      <c r="T175" s="4">
        <v>1.5365853658536586</v>
      </c>
      <c r="U175" s="4">
        <f t="shared" si="14"/>
        <v>3.1865853658536585</v>
      </c>
    </row>
    <row r="176" spans="1:21" x14ac:dyDescent="0.25">
      <c r="A176" t="s">
        <v>82</v>
      </c>
      <c r="B176" s="1" t="s">
        <v>12</v>
      </c>
      <c r="C176" s="1" t="s">
        <v>94</v>
      </c>
      <c r="D176" t="s">
        <v>79</v>
      </c>
      <c r="E176">
        <v>72800</v>
      </c>
      <c r="F176" t="s">
        <v>57</v>
      </c>
      <c r="G176">
        <v>7000</v>
      </c>
      <c r="H176" s="4">
        <v>13</v>
      </c>
      <c r="I176" s="5">
        <f t="shared" si="10"/>
        <v>0.61904761904761907</v>
      </c>
      <c r="J176" s="4">
        <v>15</v>
      </c>
      <c r="K176" s="4">
        <v>1</v>
      </c>
      <c r="L176" s="5">
        <f t="shared" si="11"/>
        <v>4.7619047619047616E-2</v>
      </c>
      <c r="M176" s="4">
        <v>1</v>
      </c>
      <c r="N176" s="4">
        <v>18</v>
      </c>
      <c r="O176" s="5">
        <f t="shared" si="12"/>
        <v>0.9</v>
      </c>
      <c r="P176" s="4">
        <v>19</v>
      </c>
      <c r="Q176" s="4">
        <v>1</v>
      </c>
      <c r="R176" s="4">
        <v>1</v>
      </c>
      <c r="S176" s="5">
        <f t="shared" si="13"/>
        <v>0.05</v>
      </c>
      <c r="T176" s="4">
        <v>0.53658536585365857</v>
      </c>
      <c r="U176" s="4">
        <f t="shared" si="14"/>
        <v>1.4365853658536585</v>
      </c>
    </row>
    <row r="177" spans="1:21" x14ac:dyDescent="0.25">
      <c r="A177" t="s">
        <v>82</v>
      </c>
      <c r="B177" s="1" t="s">
        <v>11</v>
      </c>
      <c r="C177" s="1" t="s">
        <v>94</v>
      </c>
      <c r="D177" t="s">
        <v>79</v>
      </c>
      <c r="E177">
        <v>72805</v>
      </c>
      <c r="F177" t="s">
        <v>57</v>
      </c>
      <c r="G177">
        <v>7000</v>
      </c>
      <c r="H177" s="4">
        <v>3</v>
      </c>
      <c r="I177" s="5">
        <f t="shared" si="10"/>
        <v>0.14285714285714285</v>
      </c>
      <c r="J177" s="4">
        <v>3</v>
      </c>
      <c r="K177" s="4">
        <v>4</v>
      </c>
      <c r="L177" s="5">
        <f t="shared" si="11"/>
        <v>0.19047619047619047</v>
      </c>
      <c r="M177" s="4">
        <v>6</v>
      </c>
      <c r="N177" s="4">
        <v>2</v>
      </c>
      <c r="O177" s="5">
        <f t="shared" si="12"/>
        <v>0.1</v>
      </c>
      <c r="P177" s="4">
        <v>2</v>
      </c>
      <c r="Q177" s="4">
        <v>2</v>
      </c>
      <c r="R177" s="4">
        <v>3</v>
      </c>
      <c r="S177" s="5">
        <f t="shared" si="13"/>
        <v>0.1</v>
      </c>
      <c r="T177" s="4">
        <v>0.43902439024390244</v>
      </c>
      <c r="U177" s="4">
        <f t="shared" si="14"/>
        <v>0.53902439024390247</v>
      </c>
    </row>
    <row r="178" spans="1:21" x14ac:dyDescent="0.25">
      <c r="A178" t="s">
        <v>59</v>
      </c>
      <c r="B178" s="1" t="s">
        <v>10</v>
      </c>
      <c r="C178" s="1" t="s">
        <v>94</v>
      </c>
      <c r="D178" t="s">
        <v>77</v>
      </c>
      <c r="E178">
        <v>72810</v>
      </c>
      <c r="F178" t="s">
        <v>57</v>
      </c>
      <c r="G178">
        <v>7000</v>
      </c>
      <c r="H178" s="4">
        <v>2</v>
      </c>
      <c r="I178" s="5">
        <f t="shared" si="10"/>
        <v>9.5238095238095233E-2</v>
      </c>
      <c r="J178" s="4">
        <v>2</v>
      </c>
      <c r="K178" s="4">
        <v>4</v>
      </c>
      <c r="L178" s="5">
        <f t="shared" si="11"/>
        <v>0.19047619047619047</v>
      </c>
      <c r="M178" s="4">
        <v>5</v>
      </c>
      <c r="N178" s="4">
        <v>2</v>
      </c>
      <c r="O178" s="5">
        <f t="shared" si="12"/>
        <v>0.1</v>
      </c>
      <c r="P178" s="4">
        <v>2</v>
      </c>
      <c r="Q178" s="4">
        <v>3</v>
      </c>
      <c r="R178" s="4">
        <v>4</v>
      </c>
      <c r="S178" s="5">
        <f t="shared" si="13"/>
        <v>0.15</v>
      </c>
      <c r="T178" s="4">
        <v>0.41463414634146345</v>
      </c>
      <c r="U178" s="4">
        <f t="shared" si="14"/>
        <v>0.51463414634146343</v>
      </c>
    </row>
    <row r="179" spans="1:21" x14ac:dyDescent="0.25">
      <c r="A179" t="s">
        <v>82</v>
      </c>
      <c r="B179" s="1" t="s">
        <v>11</v>
      </c>
      <c r="C179" s="1" t="s">
        <v>94</v>
      </c>
      <c r="D179" t="s">
        <v>79</v>
      </c>
      <c r="E179">
        <v>72827</v>
      </c>
      <c r="F179" t="s">
        <v>57</v>
      </c>
      <c r="G179">
        <v>7000</v>
      </c>
      <c r="H179" s="4">
        <v>2</v>
      </c>
      <c r="I179" s="5">
        <f t="shared" si="10"/>
        <v>9.5238095238095233E-2</v>
      </c>
      <c r="J179" s="4">
        <v>2</v>
      </c>
      <c r="K179" s="4">
        <v>0</v>
      </c>
      <c r="L179" s="5">
        <f t="shared" si="11"/>
        <v>0</v>
      </c>
      <c r="M179" s="4">
        <v>0</v>
      </c>
      <c r="N179" s="4">
        <v>1</v>
      </c>
      <c r="O179" s="5">
        <f t="shared" si="12"/>
        <v>0.05</v>
      </c>
      <c r="P179" s="4">
        <v>1</v>
      </c>
      <c r="Q179" s="4">
        <v>0</v>
      </c>
      <c r="R179" s="4">
        <v>0</v>
      </c>
      <c r="S179" s="5">
        <f t="shared" si="13"/>
        <v>0</v>
      </c>
      <c r="T179" s="4">
        <v>0.24390243902439027</v>
      </c>
      <c r="U179" s="4">
        <f t="shared" si="14"/>
        <v>0.29390243902439028</v>
      </c>
    </row>
    <row r="180" spans="1:21" x14ac:dyDescent="0.25">
      <c r="A180" t="s">
        <v>85</v>
      </c>
      <c r="B180" s="1" t="s">
        <v>25</v>
      </c>
      <c r="C180" s="1" t="s">
        <v>94</v>
      </c>
      <c r="D180" t="s">
        <v>86</v>
      </c>
      <c r="E180">
        <v>73061</v>
      </c>
      <c r="F180" t="s">
        <v>57</v>
      </c>
      <c r="G180">
        <v>7000</v>
      </c>
      <c r="H180" s="4">
        <v>31</v>
      </c>
      <c r="I180" s="5">
        <f t="shared" si="10"/>
        <v>1.4761904761904763</v>
      </c>
      <c r="J180" s="4">
        <v>37</v>
      </c>
      <c r="K180" s="4">
        <v>24</v>
      </c>
      <c r="L180" s="5">
        <f t="shared" si="11"/>
        <v>1.1428571428571428</v>
      </c>
      <c r="M180" s="4">
        <v>38</v>
      </c>
      <c r="N180" s="4">
        <v>29</v>
      </c>
      <c r="O180" s="5">
        <f t="shared" si="12"/>
        <v>1.45</v>
      </c>
      <c r="P180" s="4">
        <v>32</v>
      </c>
      <c r="Q180" s="4">
        <v>20</v>
      </c>
      <c r="R180" s="4">
        <v>36</v>
      </c>
      <c r="S180" s="5">
        <f t="shared" si="13"/>
        <v>1</v>
      </c>
      <c r="T180" s="4">
        <v>0.87804878048780499</v>
      </c>
      <c r="U180" s="4">
        <f t="shared" si="14"/>
        <v>2.3280487804878049</v>
      </c>
    </row>
    <row r="181" spans="1:21" x14ac:dyDescent="0.25">
      <c r="A181" t="s">
        <v>85</v>
      </c>
      <c r="B181" s="1" t="s">
        <v>25</v>
      </c>
      <c r="C181" s="1" t="s">
        <v>94</v>
      </c>
      <c r="D181" t="s">
        <v>86</v>
      </c>
      <c r="E181">
        <v>73207</v>
      </c>
      <c r="F181" t="s">
        <v>57</v>
      </c>
      <c r="G181">
        <v>7000</v>
      </c>
      <c r="H181" s="4">
        <v>18</v>
      </c>
      <c r="I181" s="5">
        <f t="shared" si="10"/>
        <v>0.8571428571428571</v>
      </c>
      <c r="J181" s="4">
        <v>18</v>
      </c>
      <c r="K181" s="4">
        <v>4</v>
      </c>
      <c r="L181" s="5">
        <f t="shared" si="11"/>
        <v>0.19047619047619047</v>
      </c>
      <c r="M181" s="4">
        <v>4</v>
      </c>
      <c r="N181" s="4">
        <v>13</v>
      </c>
      <c r="O181" s="5">
        <f t="shared" si="12"/>
        <v>0.65</v>
      </c>
      <c r="P181" s="4">
        <v>14</v>
      </c>
      <c r="Q181" s="4">
        <v>1</v>
      </c>
      <c r="R181" s="4">
        <v>1</v>
      </c>
      <c r="S181" s="5">
        <f t="shared" si="13"/>
        <v>0.05</v>
      </c>
      <c r="T181" s="4">
        <v>1.1707317073170733</v>
      </c>
      <c r="U181" s="4">
        <f t="shared" si="14"/>
        <v>1.8207317073170732</v>
      </c>
    </row>
    <row r="182" spans="1:21" x14ac:dyDescent="0.25">
      <c r="A182" t="s">
        <v>84</v>
      </c>
      <c r="B182" s="1" t="s">
        <v>6</v>
      </c>
      <c r="C182" s="1" t="s">
        <v>94</v>
      </c>
      <c r="D182" t="s">
        <v>75</v>
      </c>
      <c r="E182">
        <v>73240</v>
      </c>
      <c r="F182" t="s">
        <v>57</v>
      </c>
      <c r="G182">
        <v>7000</v>
      </c>
      <c r="H182" s="4">
        <v>4</v>
      </c>
      <c r="I182" s="5">
        <f t="shared" si="10"/>
        <v>0.19047619047619047</v>
      </c>
      <c r="J182" s="4">
        <v>5</v>
      </c>
      <c r="K182" s="4">
        <v>20</v>
      </c>
      <c r="L182" s="5">
        <f t="shared" si="11"/>
        <v>0.95238095238095233</v>
      </c>
      <c r="M182" s="4">
        <v>131</v>
      </c>
      <c r="N182" s="4">
        <v>3</v>
      </c>
      <c r="O182" s="5">
        <f t="shared" si="12"/>
        <v>0.15</v>
      </c>
      <c r="P182" s="4">
        <v>3</v>
      </c>
      <c r="Q182" s="4">
        <v>21</v>
      </c>
      <c r="R182" s="4">
        <v>112</v>
      </c>
      <c r="S182" s="5">
        <f t="shared" si="13"/>
        <v>1.05</v>
      </c>
      <c r="T182" s="4">
        <v>0.78048780487804881</v>
      </c>
      <c r="U182" s="4">
        <f t="shared" si="14"/>
        <v>0.93048780487804883</v>
      </c>
    </row>
    <row r="183" spans="1:21" x14ac:dyDescent="0.25">
      <c r="A183" t="s">
        <v>84</v>
      </c>
      <c r="B183" s="1" t="s">
        <v>6</v>
      </c>
      <c r="C183" s="1" t="s">
        <v>94</v>
      </c>
      <c r="D183" t="s">
        <v>75</v>
      </c>
      <c r="E183">
        <v>73249</v>
      </c>
      <c r="F183" t="s">
        <v>57</v>
      </c>
      <c r="G183">
        <v>7000</v>
      </c>
      <c r="H183" s="4">
        <v>8</v>
      </c>
      <c r="I183" s="5">
        <f t="shared" si="10"/>
        <v>0.38095238095238093</v>
      </c>
      <c r="J183" s="4">
        <v>8</v>
      </c>
      <c r="K183" s="4">
        <v>1</v>
      </c>
      <c r="L183" s="5">
        <f t="shared" si="11"/>
        <v>4.7619047619047616E-2</v>
      </c>
      <c r="M183" s="4">
        <v>1</v>
      </c>
      <c r="N183" s="4">
        <v>6</v>
      </c>
      <c r="O183" s="5">
        <f t="shared" si="12"/>
        <v>0.3</v>
      </c>
      <c r="P183" s="4">
        <v>6</v>
      </c>
      <c r="Q183" s="4">
        <v>0</v>
      </c>
      <c r="R183" s="4">
        <v>0</v>
      </c>
      <c r="S183" s="5">
        <f t="shared" si="13"/>
        <v>0</v>
      </c>
      <c r="T183" s="4">
        <v>0.43902439024390244</v>
      </c>
      <c r="U183" s="4">
        <f t="shared" si="14"/>
        <v>0.73902439024390243</v>
      </c>
    </row>
    <row r="184" spans="1:21" x14ac:dyDescent="0.25">
      <c r="A184" t="s">
        <v>84</v>
      </c>
      <c r="B184" s="1" t="s">
        <v>6</v>
      </c>
      <c r="C184" s="1" t="s">
        <v>94</v>
      </c>
      <c r="D184" t="s">
        <v>75</v>
      </c>
      <c r="E184">
        <v>73257</v>
      </c>
      <c r="F184" t="s">
        <v>57</v>
      </c>
      <c r="G184">
        <v>7000</v>
      </c>
      <c r="H184" s="4">
        <v>10</v>
      </c>
      <c r="I184" s="5">
        <f t="shared" si="10"/>
        <v>0.47619047619047616</v>
      </c>
      <c r="J184" s="4">
        <v>10</v>
      </c>
      <c r="K184" s="4">
        <v>8</v>
      </c>
      <c r="L184" s="5">
        <f t="shared" si="11"/>
        <v>0.38095238095238093</v>
      </c>
      <c r="M184" s="4">
        <v>18</v>
      </c>
      <c r="N184" s="4">
        <v>7</v>
      </c>
      <c r="O184" s="5">
        <f t="shared" si="12"/>
        <v>0.35</v>
      </c>
      <c r="P184" s="4">
        <v>7</v>
      </c>
      <c r="Q184" s="4">
        <v>6</v>
      </c>
      <c r="R184" s="4">
        <v>11</v>
      </c>
      <c r="S184" s="5">
        <f t="shared" si="13"/>
        <v>0.3</v>
      </c>
      <c r="T184" s="4">
        <v>0.6097560975609756</v>
      </c>
      <c r="U184" s="4">
        <f t="shared" si="14"/>
        <v>0.95975609756097557</v>
      </c>
    </row>
    <row r="185" spans="1:21" x14ac:dyDescent="0.25">
      <c r="A185" t="s">
        <v>74</v>
      </c>
      <c r="B185" s="1" t="s">
        <v>25</v>
      </c>
      <c r="C185" s="1" t="s">
        <v>94</v>
      </c>
      <c r="D185" t="s">
        <v>75</v>
      </c>
      <c r="E185">
        <v>73262</v>
      </c>
      <c r="F185" t="s">
        <v>57</v>
      </c>
      <c r="G185">
        <v>7000</v>
      </c>
      <c r="H185" s="4">
        <v>3</v>
      </c>
      <c r="I185" s="5">
        <f t="shared" si="10"/>
        <v>0.14285714285714285</v>
      </c>
      <c r="J185" s="4">
        <v>3</v>
      </c>
      <c r="K185" s="4">
        <v>1</v>
      </c>
      <c r="L185" s="5">
        <f t="shared" si="11"/>
        <v>4.7619047619047616E-2</v>
      </c>
      <c r="M185" s="4">
        <v>1</v>
      </c>
      <c r="N185" s="4">
        <v>1</v>
      </c>
      <c r="O185" s="5">
        <f t="shared" si="12"/>
        <v>0.05</v>
      </c>
      <c r="P185" s="4">
        <v>1</v>
      </c>
      <c r="Q185" s="4">
        <v>0</v>
      </c>
      <c r="R185" s="4">
        <v>0</v>
      </c>
      <c r="S185" s="5">
        <f t="shared" si="13"/>
        <v>0</v>
      </c>
      <c r="T185" s="4">
        <v>0.53658536585365857</v>
      </c>
      <c r="U185" s="4">
        <f t="shared" si="14"/>
        <v>0.58658536585365861</v>
      </c>
    </row>
    <row r="186" spans="1:21" x14ac:dyDescent="0.25">
      <c r="A186" t="s">
        <v>73</v>
      </c>
      <c r="B186" s="1" t="s">
        <v>24</v>
      </c>
      <c r="C186" s="1" t="s">
        <v>94</v>
      </c>
      <c r="D186" t="s">
        <v>75</v>
      </c>
      <c r="E186">
        <v>73614</v>
      </c>
      <c r="F186" t="s">
        <v>57</v>
      </c>
      <c r="G186">
        <v>7000</v>
      </c>
      <c r="H186" s="4">
        <v>45</v>
      </c>
      <c r="I186" s="5">
        <f t="shared" si="10"/>
        <v>2.1428571428571428</v>
      </c>
      <c r="J186" s="4">
        <v>46</v>
      </c>
      <c r="K186" s="4">
        <v>24</v>
      </c>
      <c r="L186" s="5">
        <f t="shared" si="11"/>
        <v>1.1428571428571428</v>
      </c>
      <c r="M186" s="4">
        <v>32</v>
      </c>
      <c r="N186" s="4">
        <v>51</v>
      </c>
      <c r="O186" s="5">
        <f t="shared" si="12"/>
        <v>2.5499999999999998</v>
      </c>
      <c r="P186" s="4">
        <v>52</v>
      </c>
      <c r="Q186" s="4">
        <v>18</v>
      </c>
      <c r="R186" s="4">
        <v>24</v>
      </c>
      <c r="S186" s="5">
        <f t="shared" si="13"/>
        <v>0.9</v>
      </c>
      <c r="T186" s="4">
        <v>4.2439024390243905</v>
      </c>
      <c r="U186" s="4">
        <f t="shared" si="14"/>
        <v>6.7939024390243903</v>
      </c>
    </row>
    <row r="187" spans="1:21" x14ac:dyDescent="0.25">
      <c r="A187" t="s">
        <v>63</v>
      </c>
      <c r="B187" s="1" t="s">
        <v>24</v>
      </c>
      <c r="C187" s="1" t="s">
        <v>94</v>
      </c>
      <c r="D187" t="s">
        <v>64</v>
      </c>
      <c r="E187">
        <v>73630</v>
      </c>
      <c r="F187" t="s">
        <v>57</v>
      </c>
      <c r="G187">
        <v>7000</v>
      </c>
      <c r="H187" s="4">
        <v>5</v>
      </c>
      <c r="I187" s="5">
        <f t="shared" si="10"/>
        <v>0.23809523809523808</v>
      </c>
      <c r="J187" s="4">
        <v>5</v>
      </c>
      <c r="K187" s="4">
        <v>5</v>
      </c>
      <c r="L187" s="5">
        <f t="shared" si="11"/>
        <v>0.23809523809523808</v>
      </c>
      <c r="M187" s="4">
        <v>7</v>
      </c>
      <c r="N187" s="4">
        <v>8</v>
      </c>
      <c r="O187" s="5">
        <f t="shared" si="12"/>
        <v>0.4</v>
      </c>
      <c r="P187" s="4">
        <v>8</v>
      </c>
      <c r="Q187" s="4">
        <v>7</v>
      </c>
      <c r="R187" s="4">
        <v>14</v>
      </c>
      <c r="S187" s="5">
        <f t="shared" si="13"/>
        <v>0.35</v>
      </c>
      <c r="T187" s="4">
        <v>0.7804878048780487</v>
      </c>
      <c r="U187" s="4">
        <f t="shared" si="14"/>
        <v>1.1804878048780487</v>
      </c>
    </row>
    <row r="188" spans="1:21" x14ac:dyDescent="0.25">
      <c r="A188" t="s">
        <v>63</v>
      </c>
      <c r="B188" s="1" t="s">
        <v>4</v>
      </c>
      <c r="C188" s="1" t="s">
        <v>94</v>
      </c>
      <c r="D188" t="s">
        <v>64</v>
      </c>
      <c r="E188">
        <v>73635</v>
      </c>
      <c r="F188" t="s">
        <v>57</v>
      </c>
      <c r="G188">
        <v>7000</v>
      </c>
      <c r="H188" s="4">
        <v>6</v>
      </c>
      <c r="I188" s="5">
        <f t="shared" si="10"/>
        <v>0.2857142857142857</v>
      </c>
      <c r="J188" s="4">
        <v>6</v>
      </c>
      <c r="K188" s="4">
        <v>1</v>
      </c>
      <c r="L188" s="5">
        <f t="shared" si="11"/>
        <v>4.7619047619047616E-2</v>
      </c>
      <c r="M188" s="4">
        <v>1</v>
      </c>
      <c r="N188" s="4">
        <v>0</v>
      </c>
      <c r="O188" s="5">
        <f t="shared" si="12"/>
        <v>0</v>
      </c>
      <c r="P188" s="4">
        <v>0</v>
      </c>
      <c r="Q188" s="4">
        <v>0</v>
      </c>
      <c r="R188" s="4">
        <v>0</v>
      </c>
      <c r="S188" s="5">
        <f t="shared" si="13"/>
        <v>0</v>
      </c>
      <c r="T188" s="4">
        <v>0.48780487804878053</v>
      </c>
      <c r="U188" s="4">
        <f t="shared" si="14"/>
        <v>0.48780487804878053</v>
      </c>
    </row>
    <row r="189" spans="1:21" x14ac:dyDescent="0.25">
      <c r="A189" t="s">
        <v>63</v>
      </c>
      <c r="B189" s="1" t="s">
        <v>4</v>
      </c>
      <c r="C189" s="1" t="s">
        <v>94</v>
      </c>
      <c r="D189" t="s">
        <v>64</v>
      </c>
      <c r="E189">
        <v>73642</v>
      </c>
      <c r="F189" t="s">
        <v>57</v>
      </c>
      <c r="G189">
        <v>7000</v>
      </c>
      <c r="H189" s="4">
        <v>7</v>
      </c>
      <c r="I189" s="5">
        <f t="shared" si="10"/>
        <v>0.33333333333333331</v>
      </c>
      <c r="J189" s="4">
        <v>7</v>
      </c>
      <c r="K189" s="4">
        <v>0</v>
      </c>
      <c r="L189" s="5">
        <f t="shared" si="11"/>
        <v>0</v>
      </c>
      <c r="M189" s="4">
        <v>0</v>
      </c>
      <c r="N189" s="4">
        <v>5</v>
      </c>
      <c r="O189" s="5">
        <f t="shared" si="12"/>
        <v>0.25</v>
      </c>
      <c r="P189" s="4">
        <v>5</v>
      </c>
      <c r="Q189" s="4">
        <v>2</v>
      </c>
      <c r="R189" s="4">
        <v>2</v>
      </c>
      <c r="S189" s="5">
        <f t="shared" si="13"/>
        <v>0.1</v>
      </c>
      <c r="T189" s="4">
        <v>0.85365853658536583</v>
      </c>
      <c r="U189" s="4">
        <f t="shared" si="14"/>
        <v>1.1036585365853657</v>
      </c>
    </row>
    <row r="190" spans="1:21" x14ac:dyDescent="0.25">
      <c r="A190" t="s">
        <v>73</v>
      </c>
      <c r="B190" s="1" t="s">
        <v>24</v>
      </c>
      <c r="C190" s="1" t="s">
        <v>94</v>
      </c>
      <c r="D190" t="s">
        <v>75</v>
      </c>
      <c r="E190">
        <v>73650</v>
      </c>
      <c r="F190" t="s">
        <v>57</v>
      </c>
      <c r="G190">
        <v>7000</v>
      </c>
      <c r="H190" s="4">
        <v>15</v>
      </c>
      <c r="I190" s="5">
        <f t="shared" si="10"/>
        <v>0.7142857142857143</v>
      </c>
      <c r="J190" s="4">
        <v>24</v>
      </c>
      <c r="K190" s="4">
        <v>3</v>
      </c>
      <c r="L190" s="5">
        <f t="shared" si="11"/>
        <v>0.14285714285714285</v>
      </c>
      <c r="M190" s="4">
        <v>3</v>
      </c>
      <c r="N190" s="4">
        <v>13</v>
      </c>
      <c r="O190" s="5">
        <f t="shared" si="12"/>
        <v>0.65</v>
      </c>
      <c r="P190" s="4">
        <v>17</v>
      </c>
      <c r="Q190" s="4">
        <v>1</v>
      </c>
      <c r="R190" s="4">
        <v>1</v>
      </c>
      <c r="S190" s="5">
        <f t="shared" si="13"/>
        <v>0.05</v>
      </c>
      <c r="T190" s="4">
        <v>1.0975609756097562</v>
      </c>
      <c r="U190" s="4">
        <f t="shared" si="14"/>
        <v>1.7475609756097561</v>
      </c>
    </row>
    <row r="191" spans="1:21" x14ac:dyDescent="0.25">
      <c r="A191" t="s">
        <v>85</v>
      </c>
      <c r="B191" s="1" t="s">
        <v>4</v>
      </c>
      <c r="C191" s="1" t="s">
        <v>94</v>
      </c>
      <c r="D191" t="s">
        <v>86</v>
      </c>
      <c r="E191">
        <v>73663</v>
      </c>
      <c r="F191" t="s">
        <v>57</v>
      </c>
      <c r="G191">
        <v>7000</v>
      </c>
      <c r="H191" s="4">
        <v>0</v>
      </c>
      <c r="I191" s="5">
        <f t="shared" si="10"/>
        <v>0</v>
      </c>
      <c r="J191" s="4">
        <v>0</v>
      </c>
      <c r="K191" s="4">
        <v>0</v>
      </c>
      <c r="L191" s="5">
        <f t="shared" si="11"/>
        <v>0</v>
      </c>
      <c r="M191" s="4">
        <v>0</v>
      </c>
      <c r="N191" s="4">
        <v>0</v>
      </c>
      <c r="O191" s="5">
        <f t="shared" si="12"/>
        <v>0</v>
      </c>
      <c r="P191" s="4">
        <v>0</v>
      </c>
      <c r="Q191" s="4">
        <v>0</v>
      </c>
      <c r="R191" s="4">
        <v>0</v>
      </c>
      <c r="S191" s="5">
        <f t="shared" si="13"/>
        <v>0</v>
      </c>
      <c r="T191" s="4">
        <v>0.12195121951219512</v>
      </c>
      <c r="U191" s="4">
        <f t="shared" si="14"/>
        <v>0.12195121951219512</v>
      </c>
    </row>
    <row r="192" spans="1:21" x14ac:dyDescent="0.25">
      <c r="A192" t="s">
        <v>85</v>
      </c>
      <c r="B192" s="1" t="s">
        <v>24</v>
      </c>
      <c r="C192" s="1" t="s">
        <v>94</v>
      </c>
      <c r="D192" t="s">
        <v>86</v>
      </c>
      <c r="E192">
        <v>73666</v>
      </c>
      <c r="F192" t="s">
        <v>57</v>
      </c>
      <c r="G192">
        <v>7000</v>
      </c>
      <c r="H192" s="4">
        <v>1</v>
      </c>
      <c r="I192" s="5">
        <f t="shared" si="10"/>
        <v>4.7619047619047616E-2</v>
      </c>
      <c r="J192" s="4">
        <v>1</v>
      </c>
      <c r="K192" s="4">
        <v>0</v>
      </c>
      <c r="L192" s="5">
        <f t="shared" si="11"/>
        <v>0</v>
      </c>
      <c r="M192" s="4">
        <v>0</v>
      </c>
      <c r="N192" s="4">
        <v>2</v>
      </c>
      <c r="O192" s="5">
        <f t="shared" si="12"/>
        <v>0.1</v>
      </c>
      <c r="P192" s="4">
        <v>2</v>
      </c>
      <c r="Q192" s="4">
        <v>2</v>
      </c>
      <c r="R192" s="4">
        <v>2</v>
      </c>
      <c r="S192" s="5">
        <f t="shared" si="13"/>
        <v>0.1</v>
      </c>
      <c r="T192" s="4">
        <v>0.1951219512195122</v>
      </c>
      <c r="U192" s="4">
        <f t="shared" si="14"/>
        <v>0.29512195121951224</v>
      </c>
    </row>
    <row r="193" spans="1:21" x14ac:dyDescent="0.25">
      <c r="A193" t="s">
        <v>63</v>
      </c>
      <c r="B193" s="1" t="s">
        <v>4</v>
      </c>
      <c r="C193" s="1" t="s">
        <v>94</v>
      </c>
      <c r="D193" t="s">
        <v>64</v>
      </c>
      <c r="E193">
        <v>73667</v>
      </c>
      <c r="F193" t="s">
        <v>57</v>
      </c>
      <c r="G193">
        <v>7000</v>
      </c>
      <c r="H193" s="4">
        <v>1</v>
      </c>
      <c r="I193" s="5">
        <f t="shared" si="10"/>
        <v>4.7619047619047616E-2</v>
      </c>
      <c r="J193" s="4">
        <v>1</v>
      </c>
      <c r="K193" s="4">
        <v>0</v>
      </c>
      <c r="L193" s="5">
        <f t="shared" si="11"/>
        <v>0</v>
      </c>
      <c r="M193" s="4">
        <v>0</v>
      </c>
      <c r="N193" s="4">
        <v>2</v>
      </c>
      <c r="O193" s="5">
        <f t="shared" si="12"/>
        <v>0.1</v>
      </c>
      <c r="P193" s="4">
        <v>2</v>
      </c>
      <c r="Q193" s="4">
        <v>0</v>
      </c>
      <c r="R193" s="4">
        <v>0</v>
      </c>
      <c r="S193" s="5">
        <f t="shared" si="13"/>
        <v>0</v>
      </c>
      <c r="T193" s="4">
        <v>0.21951219512195122</v>
      </c>
      <c r="U193" s="4">
        <f t="shared" si="14"/>
        <v>0.31951219512195123</v>
      </c>
    </row>
    <row r="194" spans="1:21" x14ac:dyDescent="0.25">
      <c r="A194" t="s">
        <v>63</v>
      </c>
      <c r="B194" s="1" t="s">
        <v>24</v>
      </c>
      <c r="C194" s="1" t="s">
        <v>94</v>
      </c>
      <c r="D194" t="s">
        <v>64</v>
      </c>
      <c r="E194">
        <v>73669</v>
      </c>
      <c r="F194" t="s">
        <v>57</v>
      </c>
      <c r="G194">
        <v>7000</v>
      </c>
      <c r="H194" s="4">
        <v>0</v>
      </c>
      <c r="I194" s="5">
        <f t="shared" ref="I194:I257" si="15">H194/21</f>
        <v>0</v>
      </c>
      <c r="J194" s="4">
        <v>0</v>
      </c>
      <c r="K194" s="4">
        <v>0</v>
      </c>
      <c r="L194" s="5">
        <f t="shared" ref="L194:L257" si="16">K194/21</f>
        <v>0</v>
      </c>
      <c r="M194" s="4">
        <v>0</v>
      </c>
      <c r="N194" s="4">
        <v>1</v>
      </c>
      <c r="O194" s="5">
        <f t="shared" ref="O194:O257" si="17">N194/20</f>
        <v>0.05</v>
      </c>
      <c r="P194" s="4">
        <v>1</v>
      </c>
      <c r="Q194" s="4">
        <v>0</v>
      </c>
      <c r="R194" s="4">
        <v>0</v>
      </c>
      <c r="S194" s="5">
        <f t="shared" ref="S194:S257" si="18">Q194/20</f>
        <v>0</v>
      </c>
      <c r="T194" s="4">
        <v>7.3170731707317083E-2</v>
      </c>
      <c r="U194" s="4">
        <f t="shared" si="14"/>
        <v>0.12317073170731709</v>
      </c>
    </row>
    <row r="195" spans="1:21" x14ac:dyDescent="0.25">
      <c r="A195" t="s">
        <v>85</v>
      </c>
      <c r="B195" s="1" t="s">
        <v>25</v>
      </c>
      <c r="C195" s="1" t="s">
        <v>94</v>
      </c>
      <c r="D195" t="s">
        <v>86</v>
      </c>
      <c r="E195">
        <v>73728</v>
      </c>
      <c r="F195" t="s">
        <v>57</v>
      </c>
      <c r="G195">
        <v>7000</v>
      </c>
      <c r="H195" s="4">
        <v>11</v>
      </c>
      <c r="I195" s="5">
        <f t="shared" si="15"/>
        <v>0.52380952380952384</v>
      </c>
      <c r="J195" s="4">
        <v>12</v>
      </c>
      <c r="K195" s="4">
        <v>5</v>
      </c>
      <c r="L195" s="5">
        <f t="shared" si="16"/>
        <v>0.23809523809523808</v>
      </c>
      <c r="M195" s="4">
        <v>5</v>
      </c>
      <c r="N195" s="4">
        <v>14</v>
      </c>
      <c r="O195" s="5">
        <f t="shared" si="17"/>
        <v>0.7</v>
      </c>
      <c r="P195" s="4">
        <v>14</v>
      </c>
      <c r="Q195" s="4">
        <v>2</v>
      </c>
      <c r="R195" s="4">
        <v>2</v>
      </c>
      <c r="S195" s="5">
        <f t="shared" si="18"/>
        <v>0.1</v>
      </c>
      <c r="T195" s="4">
        <v>0.85365853658536583</v>
      </c>
      <c r="U195" s="4">
        <f t="shared" ref="U195:U258" si="19">T195+O195</f>
        <v>1.5536585365853659</v>
      </c>
    </row>
    <row r="196" spans="1:21" x14ac:dyDescent="0.25">
      <c r="A196" t="s">
        <v>85</v>
      </c>
      <c r="B196" s="1" t="s">
        <v>25</v>
      </c>
      <c r="C196" s="1" t="s">
        <v>94</v>
      </c>
      <c r="D196" t="s">
        <v>86</v>
      </c>
      <c r="E196">
        <v>73730</v>
      </c>
      <c r="F196" t="s">
        <v>57</v>
      </c>
      <c r="G196">
        <v>7000</v>
      </c>
      <c r="H196" s="4">
        <v>24</v>
      </c>
      <c r="I196" s="5">
        <f t="shared" si="15"/>
        <v>1.1428571428571428</v>
      </c>
      <c r="J196" s="4">
        <v>36</v>
      </c>
      <c r="K196" s="4">
        <v>18</v>
      </c>
      <c r="L196" s="5">
        <f t="shared" si="16"/>
        <v>0.8571428571428571</v>
      </c>
      <c r="M196" s="4">
        <v>40</v>
      </c>
      <c r="N196" s="4">
        <v>30</v>
      </c>
      <c r="O196" s="5">
        <f t="shared" si="17"/>
        <v>1.5</v>
      </c>
      <c r="P196" s="4">
        <v>31</v>
      </c>
      <c r="Q196" s="4">
        <v>20</v>
      </c>
      <c r="R196" s="4">
        <v>77</v>
      </c>
      <c r="S196" s="5">
        <f t="shared" si="18"/>
        <v>1</v>
      </c>
      <c r="T196" s="4">
        <v>2.5609756097560976</v>
      </c>
      <c r="U196" s="4">
        <f t="shared" si="19"/>
        <v>4.0609756097560972</v>
      </c>
    </row>
    <row r="197" spans="1:21" x14ac:dyDescent="0.25">
      <c r="A197" t="s">
        <v>85</v>
      </c>
      <c r="B197" s="1" t="s">
        <v>25</v>
      </c>
      <c r="C197" s="1" t="s">
        <v>94</v>
      </c>
      <c r="D197" t="s">
        <v>86</v>
      </c>
      <c r="E197">
        <v>73732</v>
      </c>
      <c r="F197" t="s">
        <v>57</v>
      </c>
      <c r="G197">
        <v>7000</v>
      </c>
      <c r="H197" s="4">
        <v>2</v>
      </c>
      <c r="I197" s="5">
        <f t="shared" si="15"/>
        <v>9.5238095238095233E-2</v>
      </c>
      <c r="J197" s="4">
        <v>2</v>
      </c>
      <c r="K197" s="4">
        <v>0</v>
      </c>
      <c r="L197" s="5">
        <f t="shared" si="16"/>
        <v>0</v>
      </c>
      <c r="M197" s="4">
        <v>0</v>
      </c>
      <c r="N197" s="4">
        <v>2</v>
      </c>
      <c r="O197" s="5">
        <f t="shared" si="17"/>
        <v>0.1</v>
      </c>
      <c r="P197" s="4">
        <v>2</v>
      </c>
      <c r="Q197" s="4">
        <v>0</v>
      </c>
      <c r="R197" s="4">
        <v>0</v>
      </c>
      <c r="S197" s="5">
        <f t="shared" si="18"/>
        <v>0</v>
      </c>
      <c r="T197" s="4">
        <v>0.24390243902439021</v>
      </c>
      <c r="U197" s="4">
        <f t="shared" si="19"/>
        <v>0.34390243902439022</v>
      </c>
    </row>
    <row r="198" spans="1:21" x14ac:dyDescent="0.25">
      <c r="A198" t="s">
        <v>85</v>
      </c>
      <c r="B198" s="1" t="s">
        <v>25</v>
      </c>
      <c r="C198" s="1" t="s">
        <v>94</v>
      </c>
      <c r="D198" t="s">
        <v>86</v>
      </c>
      <c r="E198">
        <v>73733</v>
      </c>
      <c r="F198" t="s">
        <v>57</v>
      </c>
      <c r="G198">
        <v>7000</v>
      </c>
      <c r="H198" s="4">
        <v>2</v>
      </c>
      <c r="I198" s="5">
        <f t="shared" si="15"/>
        <v>9.5238095238095233E-2</v>
      </c>
      <c r="J198" s="4">
        <v>2</v>
      </c>
      <c r="K198" s="4">
        <v>1</v>
      </c>
      <c r="L198" s="5">
        <f t="shared" si="16"/>
        <v>4.7619047619047616E-2</v>
      </c>
      <c r="M198" s="4">
        <v>1</v>
      </c>
      <c r="N198" s="4">
        <v>3</v>
      </c>
      <c r="O198" s="5">
        <f t="shared" si="17"/>
        <v>0.15</v>
      </c>
      <c r="P198" s="4">
        <v>3</v>
      </c>
      <c r="Q198" s="4">
        <v>1</v>
      </c>
      <c r="R198" s="4">
        <v>1</v>
      </c>
      <c r="S198" s="5">
        <f t="shared" si="18"/>
        <v>0.05</v>
      </c>
      <c r="T198" s="4">
        <v>0.29268292682926828</v>
      </c>
      <c r="U198" s="4">
        <f t="shared" si="19"/>
        <v>0.44268292682926824</v>
      </c>
    </row>
    <row r="199" spans="1:21" x14ac:dyDescent="0.25">
      <c r="A199" t="s">
        <v>85</v>
      </c>
      <c r="B199" s="1" t="s">
        <v>25</v>
      </c>
      <c r="C199" s="1" t="s">
        <v>94</v>
      </c>
      <c r="D199" t="s">
        <v>86</v>
      </c>
      <c r="E199">
        <v>73734</v>
      </c>
      <c r="F199" t="s">
        <v>57</v>
      </c>
      <c r="G199">
        <v>7000</v>
      </c>
      <c r="H199" s="4">
        <v>25</v>
      </c>
      <c r="I199" s="5">
        <f t="shared" si="15"/>
        <v>1.1904761904761905</v>
      </c>
      <c r="J199" s="4">
        <v>30</v>
      </c>
      <c r="K199" s="4">
        <v>1</v>
      </c>
      <c r="L199" s="5">
        <f t="shared" si="16"/>
        <v>4.7619047619047616E-2</v>
      </c>
      <c r="M199" s="4">
        <v>1</v>
      </c>
      <c r="N199" s="4">
        <v>20</v>
      </c>
      <c r="O199" s="5">
        <f t="shared" si="17"/>
        <v>1</v>
      </c>
      <c r="P199" s="4">
        <v>27</v>
      </c>
      <c r="Q199" s="4">
        <v>2</v>
      </c>
      <c r="R199" s="4">
        <v>2</v>
      </c>
      <c r="S199" s="5">
        <f t="shared" si="18"/>
        <v>0.1</v>
      </c>
      <c r="T199" s="4">
        <v>0.80487804878048785</v>
      </c>
      <c r="U199" s="4">
        <f t="shared" si="19"/>
        <v>1.8048780487804879</v>
      </c>
    </row>
    <row r="200" spans="1:21" x14ac:dyDescent="0.25">
      <c r="A200" t="s">
        <v>60</v>
      </c>
      <c r="B200" s="1" t="s">
        <v>6</v>
      </c>
      <c r="C200" s="1" t="s">
        <v>94</v>
      </c>
      <c r="D200" t="s">
        <v>62</v>
      </c>
      <c r="E200">
        <v>73760</v>
      </c>
      <c r="F200" t="s">
        <v>57</v>
      </c>
      <c r="G200">
        <v>7000</v>
      </c>
      <c r="H200" s="4">
        <v>42</v>
      </c>
      <c r="I200" s="5">
        <f t="shared" si="15"/>
        <v>2</v>
      </c>
      <c r="J200" s="4">
        <v>43</v>
      </c>
      <c r="K200" s="4">
        <v>15</v>
      </c>
      <c r="L200" s="5">
        <f t="shared" si="16"/>
        <v>0.7142857142857143</v>
      </c>
      <c r="M200" s="4">
        <v>20</v>
      </c>
      <c r="N200" s="4">
        <v>40</v>
      </c>
      <c r="O200" s="5">
        <f t="shared" si="17"/>
        <v>2</v>
      </c>
      <c r="P200" s="4">
        <v>43</v>
      </c>
      <c r="Q200" s="4">
        <v>12</v>
      </c>
      <c r="R200" s="4">
        <v>13</v>
      </c>
      <c r="S200" s="5">
        <f t="shared" si="18"/>
        <v>0.6</v>
      </c>
      <c r="T200" s="4">
        <v>2.3902439024390243</v>
      </c>
      <c r="U200" s="4">
        <f t="shared" si="19"/>
        <v>4.3902439024390247</v>
      </c>
    </row>
    <row r="201" spans="1:21" x14ac:dyDescent="0.25">
      <c r="A201" t="s">
        <v>60</v>
      </c>
      <c r="B201" s="1" t="s">
        <v>6</v>
      </c>
      <c r="C201" s="1" t="s">
        <v>94</v>
      </c>
      <c r="D201" t="s">
        <v>62</v>
      </c>
      <c r="E201">
        <v>73765</v>
      </c>
      <c r="F201" t="s">
        <v>57</v>
      </c>
      <c r="G201">
        <v>7000</v>
      </c>
      <c r="H201" s="4">
        <v>13</v>
      </c>
      <c r="I201" s="5">
        <f t="shared" si="15"/>
        <v>0.61904761904761907</v>
      </c>
      <c r="J201" s="4">
        <v>13</v>
      </c>
      <c r="K201" s="4">
        <v>22</v>
      </c>
      <c r="L201" s="5">
        <f t="shared" si="16"/>
        <v>1.0476190476190477</v>
      </c>
      <c r="M201" s="4">
        <v>60</v>
      </c>
      <c r="N201" s="4">
        <v>18</v>
      </c>
      <c r="O201" s="5">
        <f t="shared" si="17"/>
        <v>0.9</v>
      </c>
      <c r="P201" s="4">
        <v>18</v>
      </c>
      <c r="Q201" s="4">
        <v>15</v>
      </c>
      <c r="R201" s="4">
        <v>37</v>
      </c>
      <c r="S201" s="5">
        <f t="shared" si="18"/>
        <v>0.75</v>
      </c>
      <c r="T201" s="4">
        <v>1.0975609756097562</v>
      </c>
      <c r="U201" s="4">
        <f t="shared" si="19"/>
        <v>1.9975609756097561</v>
      </c>
    </row>
    <row r="202" spans="1:21" x14ac:dyDescent="0.25">
      <c r="A202" t="s">
        <v>60</v>
      </c>
      <c r="B202" s="1" t="s">
        <v>6</v>
      </c>
      <c r="C202" s="1" t="s">
        <v>94</v>
      </c>
      <c r="D202" t="s">
        <v>62</v>
      </c>
      <c r="E202">
        <v>73770</v>
      </c>
      <c r="F202" t="s">
        <v>57</v>
      </c>
      <c r="G202">
        <v>7000</v>
      </c>
      <c r="H202" s="4">
        <v>8</v>
      </c>
      <c r="I202" s="5">
        <f t="shared" si="15"/>
        <v>0.38095238095238093</v>
      </c>
      <c r="J202" s="4">
        <v>8</v>
      </c>
      <c r="K202" s="4">
        <v>0</v>
      </c>
      <c r="L202" s="5">
        <f t="shared" si="16"/>
        <v>0</v>
      </c>
      <c r="M202" s="4">
        <v>0</v>
      </c>
      <c r="N202" s="4">
        <v>12</v>
      </c>
      <c r="O202" s="5">
        <f t="shared" si="17"/>
        <v>0.6</v>
      </c>
      <c r="P202" s="4">
        <v>12</v>
      </c>
      <c r="Q202" s="4">
        <v>0</v>
      </c>
      <c r="R202" s="4">
        <v>0</v>
      </c>
      <c r="S202" s="5">
        <f t="shared" si="18"/>
        <v>0</v>
      </c>
      <c r="T202" s="4">
        <v>0.31707317073170732</v>
      </c>
      <c r="U202" s="4">
        <f t="shared" si="19"/>
        <v>0.91707317073170724</v>
      </c>
    </row>
    <row r="203" spans="1:21" x14ac:dyDescent="0.25">
      <c r="A203" t="s">
        <v>85</v>
      </c>
      <c r="B203" s="1" t="s">
        <v>25</v>
      </c>
      <c r="C203" s="1" t="s">
        <v>94</v>
      </c>
      <c r="D203" t="s">
        <v>86</v>
      </c>
      <c r="E203">
        <v>73773</v>
      </c>
      <c r="F203" t="s">
        <v>57</v>
      </c>
      <c r="G203">
        <v>7000</v>
      </c>
      <c r="H203" s="4">
        <v>6</v>
      </c>
      <c r="I203" s="5">
        <f t="shared" si="15"/>
        <v>0.2857142857142857</v>
      </c>
      <c r="J203" s="4">
        <v>6</v>
      </c>
      <c r="K203" s="4">
        <v>3</v>
      </c>
      <c r="L203" s="5">
        <f t="shared" si="16"/>
        <v>0.14285714285714285</v>
      </c>
      <c r="M203" s="4">
        <v>3</v>
      </c>
      <c r="N203" s="4">
        <v>7</v>
      </c>
      <c r="O203" s="5">
        <f t="shared" si="17"/>
        <v>0.35</v>
      </c>
      <c r="P203" s="4">
        <v>7</v>
      </c>
      <c r="Q203" s="4">
        <v>2</v>
      </c>
      <c r="R203" s="4">
        <v>2</v>
      </c>
      <c r="S203" s="5">
        <f t="shared" si="18"/>
        <v>0.1</v>
      </c>
      <c r="T203" s="4">
        <v>0.70731707317073178</v>
      </c>
      <c r="U203" s="4">
        <f t="shared" si="19"/>
        <v>1.0573170731707318</v>
      </c>
    </row>
    <row r="204" spans="1:21" x14ac:dyDescent="0.25">
      <c r="A204" t="s">
        <v>85</v>
      </c>
      <c r="B204" s="1" t="s">
        <v>25</v>
      </c>
      <c r="C204" s="1" t="s">
        <v>94</v>
      </c>
      <c r="D204" t="s">
        <v>86</v>
      </c>
      <c r="E204">
        <v>73776</v>
      </c>
      <c r="F204" t="s">
        <v>57</v>
      </c>
      <c r="G204">
        <v>7000</v>
      </c>
      <c r="H204" s="4">
        <v>9</v>
      </c>
      <c r="I204" s="5">
        <f t="shared" si="15"/>
        <v>0.42857142857142855</v>
      </c>
      <c r="J204" s="4">
        <v>9</v>
      </c>
      <c r="K204" s="4">
        <v>6</v>
      </c>
      <c r="L204" s="5">
        <f t="shared" si="16"/>
        <v>0.2857142857142857</v>
      </c>
      <c r="M204" s="4">
        <v>8</v>
      </c>
      <c r="N204" s="4">
        <v>15</v>
      </c>
      <c r="O204" s="5">
        <f t="shared" si="17"/>
        <v>0.75</v>
      </c>
      <c r="P204" s="4">
        <v>17</v>
      </c>
      <c r="Q204" s="4">
        <v>8</v>
      </c>
      <c r="R204" s="4">
        <v>14</v>
      </c>
      <c r="S204" s="5">
        <f t="shared" si="18"/>
        <v>0.4</v>
      </c>
      <c r="T204" s="4">
        <v>1.1951219512195121</v>
      </c>
      <c r="U204" s="4">
        <f t="shared" si="19"/>
        <v>1.9451219512195121</v>
      </c>
    </row>
    <row r="205" spans="1:21" x14ac:dyDescent="0.25">
      <c r="A205" t="s">
        <v>85</v>
      </c>
      <c r="B205" s="1" t="s">
        <v>25</v>
      </c>
      <c r="C205" s="1" t="s">
        <v>94</v>
      </c>
      <c r="D205" t="s">
        <v>86</v>
      </c>
      <c r="E205">
        <v>73779</v>
      </c>
      <c r="F205" t="s">
        <v>57</v>
      </c>
      <c r="G205">
        <v>7000</v>
      </c>
      <c r="H205" s="4">
        <v>6</v>
      </c>
      <c r="I205" s="5">
        <f t="shared" si="15"/>
        <v>0.2857142857142857</v>
      </c>
      <c r="J205" s="4">
        <v>7</v>
      </c>
      <c r="K205" s="4">
        <v>7</v>
      </c>
      <c r="L205" s="5">
        <f t="shared" si="16"/>
        <v>0.33333333333333331</v>
      </c>
      <c r="M205" s="4">
        <v>8</v>
      </c>
      <c r="N205" s="4">
        <v>4</v>
      </c>
      <c r="O205" s="5">
        <f t="shared" si="17"/>
        <v>0.2</v>
      </c>
      <c r="P205" s="4">
        <v>4</v>
      </c>
      <c r="Q205" s="4">
        <v>7</v>
      </c>
      <c r="R205" s="4">
        <v>8</v>
      </c>
      <c r="S205" s="5">
        <f t="shared" si="18"/>
        <v>0.35</v>
      </c>
      <c r="T205" s="4">
        <v>0.21951219512195122</v>
      </c>
      <c r="U205" s="4">
        <f t="shared" si="19"/>
        <v>0.41951219512195126</v>
      </c>
    </row>
    <row r="206" spans="1:21" x14ac:dyDescent="0.25">
      <c r="A206" t="s">
        <v>81</v>
      </c>
      <c r="B206" s="1" t="s">
        <v>30</v>
      </c>
      <c r="C206" s="1" t="s">
        <v>94</v>
      </c>
      <c r="D206" t="s">
        <v>79</v>
      </c>
      <c r="E206">
        <v>74072</v>
      </c>
      <c r="F206" t="s">
        <v>57</v>
      </c>
      <c r="G206">
        <v>7000</v>
      </c>
      <c r="H206" s="4">
        <v>14</v>
      </c>
      <c r="I206" s="5">
        <f t="shared" si="15"/>
        <v>0.66666666666666663</v>
      </c>
      <c r="J206" s="4">
        <v>14</v>
      </c>
      <c r="K206" s="4">
        <v>1</v>
      </c>
      <c r="L206" s="5">
        <f t="shared" si="16"/>
        <v>4.7619047619047616E-2</v>
      </c>
      <c r="M206" s="4">
        <v>1</v>
      </c>
      <c r="N206" s="4">
        <v>8</v>
      </c>
      <c r="O206" s="5">
        <f t="shared" si="17"/>
        <v>0.4</v>
      </c>
      <c r="P206" s="4">
        <v>8</v>
      </c>
      <c r="Q206" s="4">
        <v>1</v>
      </c>
      <c r="R206" s="4">
        <v>1</v>
      </c>
      <c r="S206" s="5">
        <f t="shared" si="18"/>
        <v>0.05</v>
      </c>
      <c r="T206" s="4">
        <v>0.97560975609756095</v>
      </c>
      <c r="U206" s="4">
        <f t="shared" si="19"/>
        <v>1.3756097560975609</v>
      </c>
    </row>
    <row r="207" spans="1:21" x14ac:dyDescent="0.25">
      <c r="A207" t="s">
        <v>81</v>
      </c>
      <c r="B207" s="1" t="s">
        <v>30</v>
      </c>
      <c r="C207" s="1" t="s">
        <v>94</v>
      </c>
      <c r="D207" t="s">
        <v>79</v>
      </c>
      <c r="E207">
        <v>74074</v>
      </c>
      <c r="F207" t="s">
        <v>57</v>
      </c>
      <c r="G207">
        <v>7000</v>
      </c>
      <c r="H207" s="4">
        <v>18</v>
      </c>
      <c r="I207" s="5">
        <f t="shared" si="15"/>
        <v>0.8571428571428571</v>
      </c>
      <c r="J207" s="4">
        <v>19</v>
      </c>
      <c r="K207" s="4">
        <v>0</v>
      </c>
      <c r="L207" s="5">
        <f t="shared" si="16"/>
        <v>0</v>
      </c>
      <c r="M207" s="4">
        <v>0</v>
      </c>
      <c r="N207" s="4">
        <v>8</v>
      </c>
      <c r="O207" s="5">
        <f t="shared" si="17"/>
        <v>0.4</v>
      </c>
      <c r="P207" s="4">
        <v>8</v>
      </c>
      <c r="Q207" s="4">
        <v>0</v>
      </c>
      <c r="R207" s="4">
        <v>0</v>
      </c>
      <c r="S207" s="5">
        <f t="shared" si="18"/>
        <v>0</v>
      </c>
      <c r="T207" s="4">
        <v>0.80487804878048785</v>
      </c>
      <c r="U207" s="4">
        <f t="shared" si="19"/>
        <v>1.204878048780488</v>
      </c>
    </row>
    <row r="208" spans="1:21" x14ac:dyDescent="0.25">
      <c r="A208" t="s">
        <v>81</v>
      </c>
      <c r="B208" s="1" t="s">
        <v>30</v>
      </c>
      <c r="C208" s="1" t="s">
        <v>94</v>
      </c>
      <c r="D208" t="s">
        <v>79</v>
      </c>
      <c r="E208">
        <v>74076</v>
      </c>
      <c r="F208" t="s">
        <v>57</v>
      </c>
      <c r="G208">
        <v>7000</v>
      </c>
      <c r="H208" s="4">
        <v>57</v>
      </c>
      <c r="I208" s="5">
        <f t="shared" si="15"/>
        <v>2.7142857142857144</v>
      </c>
      <c r="J208" s="4">
        <v>68</v>
      </c>
      <c r="K208" s="4">
        <v>15</v>
      </c>
      <c r="L208" s="5">
        <f t="shared" si="16"/>
        <v>0.7142857142857143</v>
      </c>
      <c r="M208" s="4">
        <v>17</v>
      </c>
      <c r="N208" s="4">
        <v>68</v>
      </c>
      <c r="O208" s="5">
        <f t="shared" si="17"/>
        <v>3.4</v>
      </c>
      <c r="P208" s="4">
        <v>74</v>
      </c>
      <c r="Q208" s="4">
        <v>10</v>
      </c>
      <c r="R208" s="4">
        <v>10</v>
      </c>
      <c r="S208" s="5">
        <f t="shared" si="18"/>
        <v>0.5</v>
      </c>
      <c r="T208" s="4">
        <v>2.3170731707317076</v>
      </c>
      <c r="U208" s="4">
        <f t="shared" si="19"/>
        <v>5.7170731707317071</v>
      </c>
    </row>
    <row r="209" spans="1:21" x14ac:dyDescent="0.25">
      <c r="A209" t="s">
        <v>81</v>
      </c>
      <c r="B209" s="1" t="s">
        <v>30</v>
      </c>
      <c r="C209" s="1" t="s">
        <v>94</v>
      </c>
      <c r="D209" t="s">
        <v>79</v>
      </c>
      <c r="E209">
        <v>74078</v>
      </c>
      <c r="F209" t="s">
        <v>57</v>
      </c>
      <c r="G209">
        <v>7000</v>
      </c>
      <c r="H209" s="4">
        <v>25</v>
      </c>
      <c r="I209" s="5">
        <f t="shared" si="15"/>
        <v>1.1904761904761905</v>
      </c>
      <c r="J209" s="4">
        <v>25</v>
      </c>
      <c r="K209" s="4">
        <v>35</v>
      </c>
      <c r="L209" s="5">
        <f t="shared" si="16"/>
        <v>1.6666666666666667</v>
      </c>
      <c r="M209" s="4">
        <v>66</v>
      </c>
      <c r="N209" s="4">
        <v>25</v>
      </c>
      <c r="O209" s="5">
        <f t="shared" si="17"/>
        <v>1.25</v>
      </c>
      <c r="P209" s="4">
        <v>26</v>
      </c>
      <c r="Q209" s="4">
        <v>28</v>
      </c>
      <c r="R209" s="4">
        <v>58</v>
      </c>
      <c r="S209" s="5">
        <f t="shared" si="18"/>
        <v>1.4</v>
      </c>
      <c r="T209" s="4">
        <v>1.6097560975609757</v>
      </c>
      <c r="U209" s="4">
        <f t="shared" si="19"/>
        <v>2.8597560975609757</v>
      </c>
    </row>
    <row r="210" spans="1:21" x14ac:dyDescent="0.25">
      <c r="A210" t="s">
        <v>81</v>
      </c>
      <c r="B210" s="1" t="s">
        <v>30</v>
      </c>
      <c r="C210" s="1" t="s">
        <v>94</v>
      </c>
      <c r="D210" t="s">
        <v>79</v>
      </c>
      <c r="E210">
        <v>74080</v>
      </c>
      <c r="F210" t="s">
        <v>57</v>
      </c>
      <c r="G210">
        <v>7000</v>
      </c>
      <c r="H210" s="4">
        <v>14</v>
      </c>
      <c r="I210" s="5">
        <f t="shared" si="15"/>
        <v>0.66666666666666663</v>
      </c>
      <c r="J210" s="4">
        <v>15</v>
      </c>
      <c r="K210" s="4">
        <v>2</v>
      </c>
      <c r="L210" s="5">
        <f t="shared" si="16"/>
        <v>9.5238095238095233E-2</v>
      </c>
      <c r="M210" s="4">
        <v>2</v>
      </c>
      <c r="N210" s="4">
        <v>14</v>
      </c>
      <c r="O210" s="5">
        <f t="shared" si="17"/>
        <v>0.7</v>
      </c>
      <c r="P210" s="4">
        <v>15</v>
      </c>
      <c r="Q210" s="4">
        <v>1</v>
      </c>
      <c r="R210" s="4">
        <v>1</v>
      </c>
      <c r="S210" s="5">
        <f t="shared" si="18"/>
        <v>0.05</v>
      </c>
      <c r="T210" s="4">
        <v>0.70731707317073189</v>
      </c>
      <c r="U210" s="4">
        <f t="shared" si="19"/>
        <v>1.4073170731707318</v>
      </c>
    </row>
    <row r="211" spans="1:21" x14ac:dyDescent="0.25">
      <c r="A211" t="s">
        <v>81</v>
      </c>
      <c r="B211" s="1" t="s">
        <v>30</v>
      </c>
      <c r="C211" s="1" t="s">
        <v>94</v>
      </c>
      <c r="D211" t="s">
        <v>79</v>
      </c>
      <c r="E211">
        <v>74081</v>
      </c>
      <c r="F211" t="s">
        <v>57</v>
      </c>
      <c r="G211">
        <v>7000</v>
      </c>
      <c r="H211" s="4">
        <v>1</v>
      </c>
      <c r="I211" s="5">
        <f t="shared" si="15"/>
        <v>4.7619047619047616E-2</v>
      </c>
      <c r="J211" s="4">
        <v>1</v>
      </c>
      <c r="K211" s="4">
        <v>1</v>
      </c>
      <c r="L211" s="5">
        <f t="shared" si="16"/>
        <v>4.7619047619047616E-2</v>
      </c>
      <c r="M211" s="4">
        <v>1</v>
      </c>
      <c r="N211" s="4">
        <v>2</v>
      </c>
      <c r="O211" s="5">
        <f t="shared" si="17"/>
        <v>0.1</v>
      </c>
      <c r="P211" s="4">
        <v>2</v>
      </c>
      <c r="Q211" s="4">
        <v>0</v>
      </c>
      <c r="R211" s="4">
        <v>0</v>
      </c>
      <c r="S211" s="5">
        <f t="shared" si="18"/>
        <v>0</v>
      </c>
      <c r="T211" s="4">
        <v>0.48780487804878053</v>
      </c>
      <c r="U211" s="4">
        <f t="shared" si="19"/>
        <v>0.58780487804878057</v>
      </c>
    </row>
    <row r="212" spans="1:21" x14ac:dyDescent="0.25">
      <c r="A212" t="s">
        <v>81</v>
      </c>
      <c r="B212" s="1" t="s">
        <v>29</v>
      </c>
      <c r="C212" s="1" t="s">
        <v>94</v>
      </c>
      <c r="D212" t="s">
        <v>79</v>
      </c>
      <c r="E212">
        <v>74172</v>
      </c>
      <c r="F212" t="s">
        <v>57</v>
      </c>
      <c r="G212">
        <v>7000</v>
      </c>
      <c r="H212" s="4">
        <v>48</v>
      </c>
      <c r="I212" s="5">
        <f t="shared" si="15"/>
        <v>2.2857142857142856</v>
      </c>
      <c r="J212" s="4">
        <v>54</v>
      </c>
      <c r="K212" s="4">
        <v>1</v>
      </c>
      <c r="L212" s="5">
        <f t="shared" si="16"/>
        <v>4.7619047619047616E-2</v>
      </c>
      <c r="M212" s="4">
        <v>1</v>
      </c>
      <c r="N212" s="4">
        <v>54</v>
      </c>
      <c r="O212" s="5">
        <f t="shared" si="17"/>
        <v>2.7</v>
      </c>
      <c r="P212" s="4">
        <v>63</v>
      </c>
      <c r="Q212" s="4">
        <v>1</v>
      </c>
      <c r="R212" s="4">
        <v>1</v>
      </c>
      <c r="S212" s="5">
        <f t="shared" si="18"/>
        <v>0.05</v>
      </c>
      <c r="T212" s="4">
        <v>2.5365853658536586</v>
      </c>
      <c r="U212" s="4">
        <f t="shared" si="19"/>
        <v>5.2365853658536583</v>
      </c>
    </row>
    <row r="213" spans="1:21" x14ac:dyDescent="0.25">
      <c r="A213" t="s">
        <v>81</v>
      </c>
      <c r="B213" s="1" t="s">
        <v>29</v>
      </c>
      <c r="C213" s="1" t="s">
        <v>94</v>
      </c>
      <c r="D213" t="s">
        <v>79</v>
      </c>
      <c r="E213">
        <v>74177</v>
      </c>
      <c r="F213" t="s">
        <v>57</v>
      </c>
      <c r="G213">
        <v>7000</v>
      </c>
      <c r="H213" s="4">
        <v>9</v>
      </c>
      <c r="I213" s="5">
        <f t="shared" si="15"/>
        <v>0.42857142857142855</v>
      </c>
      <c r="J213" s="4">
        <v>9</v>
      </c>
      <c r="K213" s="4">
        <v>4</v>
      </c>
      <c r="L213" s="5">
        <f t="shared" si="16"/>
        <v>0.19047619047619047</v>
      </c>
      <c r="M213" s="4">
        <v>5</v>
      </c>
      <c r="N213" s="4">
        <v>13</v>
      </c>
      <c r="O213" s="5">
        <f t="shared" si="17"/>
        <v>0.65</v>
      </c>
      <c r="P213" s="4">
        <v>13</v>
      </c>
      <c r="Q213" s="4">
        <v>1</v>
      </c>
      <c r="R213" s="4">
        <v>1</v>
      </c>
      <c r="S213" s="5">
        <f t="shared" si="18"/>
        <v>0.05</v>
      </c>
      <c r="T213" s="4">
        <v>1.6585365853658538</v>
      </c>
      <c r="U213" s="4">
        <f t="shared" si="19"/>
        <v>2.3085365853658537</v>
      </c>
    </row>
    <row r="214" spans="1:21" x14ac:dyDescent="0.25">
      <c r="A214" t="s">
        <v>81</v>
      </c>
      <c r="B214" s="1" t="s">
        <v>18</v>
      </c>
      <c r="C214" s="1" t="s">
        <v>94</v>
      </c>
      <c r="D214" t="s">
        <v>79</v>
      </c>
      <c r="E214">
        <v>74182</v>
      </c>
      <c r="F214" t="s">
        <v>57</v>
      </c>
      <c r="G214">
        <v>7000</v>
      </c>
      <c r="H214" s="4">
        <v>9</v>
      </c>
      <c r="I214" s="5">
        <f t="shared" si="15"/>
        <v>0.42857142857142855</v>
      </c>
      <c r="J214" s="4">
        <v>10</v>
      </c>
      <c r="K214" s="4">
        <v>2</v>
      </c>
      <c r="L214" s="5">
        <f t="shared" si="16"/>
        <v>9.5238095238095233E-2</v>
      </c>
      <c r="M214" s="4">
        <v>2</v>
      </c>
      <c r="N214" s="4">
        <v>6</v>
      </c>
      <c r="O214" s="5">
        <f t="shared" si="17"/>
        <v>0.3</v>
      </c>
      <c r="P214" s="4">
        <v>6</v>
      </c>
      <c r="Q214" s="4">
        <v>2</v>
      </c>
      <c r="R214" s="4">
        <v>2</v>
      </c>
      <c r="S214" s="5">
        <f t="shared" si="18"/>
        <v>0.1</v>
      </c>
      <c r="T214" s="4">
        <v>0.46341463414634149</v>
      </c>
      <c r="U214" s="4">
        <f t="shared" si="19"/>
        <v>0.76341463414634148</v>
      </c>
    </row>
    <row r="215" spans="1:21" x14ac:dyDescent="0.25">
      <c r="A215" t="s">
        <v>81</v>
      </c>
      <c r="B215" s="1" t="s">
        <v>18</v>
      </c>
      <c r="C215" s="1" t="s">
        <v>94</v>
      </c>
      <c r="D215" t="s">
        <v>79</v>
      </c>
      <c r="E215">
        <v>74189</v>
      </c>
      <c r="F215" t="s">
        <v>57</v>
      </c>
      <c r="G215">
        <v>7000</v>
      </c>
      <c r="H215" s="4">
        <v>26</v>
      </c>
      <c r="I215" s="5">
        <f t="shared" si="15"/>
        <v>1.2380952380952381</v>
      </c>
      <c r="J215" s="4">
        <v>26</v>
      </c>
      <c r="K215" s="4">
        <v>0</v>
      </c>
      <c r="L215" s="5">
        <f t="shared" si="16"/>
        <v>0</v>
      </c>
      <c r="M215" s="4">
        <v>0</v>
      </c>
      <c r="N215" s="4">
        <v>15</v>
      </c>
      <c r="O215" s="5">
        <f t="shared" si="17"/>
        <v>0.75</v>
      </c>
      <c r="P215" s="4">
        <v>15</v>
      </c>
      <c r="Q215" s="4">
        <v>1</v>
      </c>
      <c r="R215" s="4">
        <v>1</v>
      </c>
      <c r="S215" s="5">
        <f t="shared" si="18"/>
        <v>0.05</v>
      </c>
      <c r="T215" s="4">
        <v>0.65853658536585369</v>
      </c>
      <c r="U215" s="4">
        <f t="shared" si="19"/>
        <v>1.4085365853658538</v>
      </c>
    </row>
    <row r="216" spans="1:21" x14ac:dyDescent="0.25">
      <c r="A216" t="s">
        <v>87</v>
      </c>
      <c r="B216" s="1" t="s">
        <v>30</v>
      </c>
      <c r="C216" s="1" t="s">
        <v>94</v>
      </c>
      <c r="D216" t="s">
        <v>79</v>
      </c>
      <c r="E216">
        <v>74193</v>
      </c>
      <c r="F216" t="s">
        <v>57</v>
      </c>
      <c r="G216">
        <v>7000</v>
      </c>
      <c r="H216" s="4">
        <v>4</v>
      </c>
      <c r="I216" s="5">
        <f t="shared" si="15"/>
        <v>0.19047619047619047</v>
      </c>
      <c r="J216" s="4">
        <v>4</v>
      </c>
      <c r="K216" s="4">
        <v>2</v>
      </c>
      <c r="L216" s="5">
        <f t="shared" si="16"/>
        <v>9.5238095238095233E-2</v>
      </c>
      <c r="M216" s="4">
        <v>2</v>
      </c>
      <c r="N216" s="4">
        <v>10</v>
      </c>
      <c r="O216" s="5">
        <f t="shared" si="17"/>
        <v>0.5</v>
      </c>
      <c r="P216" s="4">
        <v>10</v>
      </c>
      <c r="Q216" s="4">
        <v>6</v>
      </c>
      <c r="R216" s="4">
        <v>7</v>
      </c>
      <c r="S216" s="5">
        <f t="shared" si="18"/>
        <v>0.3</v>
      </c>
      <c r="T216" s="4">
        <v>1.536585365853659</v>
      </c>
      <c r="U216" s="4">
        <f t="shared" si="19"/>
        <v>2.036585365853659</v>
      </c>
    </row>
    <row r="217" spans="1:21" x14ac:dyDescent="0.25">
      <c r="A217" t="s">
        <v>80</v>
      </c>
      <c r="B217" s="1" t="s">
        <v>29</v>
      </c>
      <c r="C217" s="1" t="s">
        <v>94</v>
      </c>
      <c r="D217" t="s">
        <v>88</v>
      </c>
      <c r="E217">
        <v>74196</v>
      </c>
      <c r="F217" t="s">
        <v>57</v>
      </c>
      <c r="G217">
        <v>7000</v>
      </c>
      <c r="H217" s="4">
        <v>8</v>
      </c>
      <c r="I217" s="5">
        <f t="shared" si="15"/>
        <v>0.38095238095238093</v>
      </c>
      <c r="J217" s="4">
        <v>8</v>
      </c>
      <c r="K217" s="4">
        <v>12</v>
      </c>
      <c r="L217" s="5">
        <f t="shared" si="16"/>
        <v>0.5714285714285714</v>
      </c>
      <c r="M217" s="4">
        <v>89</v>
      </c>
      <c r="N217" s="4">
        <v>16</v>
      </c>
      <c r="O217" s="5">
        <f t="shared" si="17"/>
        <v>0.8</v>
      </c>
      <c r="P217" s="4">
        <v>16</v>
      </c>
      <c r="Q217" s="4">
        <v>16</v>
      </c>
      <c r="R217" s="4">
        <v>93</v>
      </c>
      <c r="S217" s="5">
        <f t="shared" si="18"/>
        <v>0.8</v>
      </c>
      <c r="T217" s="4">
        <v>1.8536585365853659</v>
      </c>
      <c r="U217" s="4">
        <f t="shared" si="19"/>
        <v>2.653658536585366</v>
      </c>
    </row>
    <row r="218" spans="1:21" x14ac:dyDescent="0.25">
      <c r="A218" t="s">
        <v>81</v>
      </c>
      <c r="B218" s="1" t="s">
        <v>18</v>
      </c>
      <c r="C218" s="1" t="s">
        <v>94</v>
      </c>
      <c r="D218" t="s">
        <v>79</v>
      </c>
      <c r="E218">
        <v>74199</v>
      </c>
      <c r="F218" t="s">
        <v>57</v>
      </c>
      <c r="G218">
        <v>7000</v>
      </c>
      <c r="H218" s="4">
        <v>0</v>
      </c>
      <c r="I218" s="5">
        <f t="shared" si="15"/>
        <v>0</v>
      </c>
      <c r="J218" s="4">
        <v>0</v>
      </c>
      <c r="K218" s="4">
        <v>0</v>
      </c>
      <c r="L218" s="5">
        <f t="shared" si="16"/>
        <v>0</v>
      </c>
      <c r="M218" s="4">
        <v>0</v>
      </c>
      <c r="N218" s="4">
        <v>6</v>
      </c>
      <c r="O218" s="5">
        <f t="shared" si="17"/>
        <v>0.3</v>
      </c>
      <c r="P218" s="4">
        <v>6</v>
      </c>
      <c r="Q218" s="4">
        <v>1</v>
      </c>
      <c r="R218" s="4">
        <v>1</v>
      </c>
      <c r="S218" s="5">
        <f t="shared" si="18"/>
        <v>0.05</v>
      </c>
      <c r="T218" s="4">
        <v>0.17073170731707316</v>
      </c>
      <c r="U218" s="4">
        <f t="shared" si="19"/>
        <v>0.47073170731707314</v>
      </c>
    </row>
    <row r="219" spans="1:21" x14ac:dyDescent="0.25">
      <c r="A219" t="s">
        <v>81</v>
      </c>
      <c r="B219" s="1" t="s">
        <v>29</v>
      </c>
      <c r="C219" s="1" t="s">
        <v>94</v>
      </c>
      <c r="D219" t="s">
        <v>79</v>
      </c>
      <c r="E219">
        <v>74206</v>
      </c>
      <c r="F219" t="s">
        <v>57</v>
      </c>
      <c r="G219">
        <v>7000</v>
      </c>
      <c r="H219" s="4">
        <v>5</v>
      </c>
      <c r="I219" s="5">
        <f t="shared" si="15"/>
        <v>0.23809523809523808</v>
      </c>
      <c r="J219" s="4">
        <v>6</v>
      </c>
      <c r="K219" s="4">
        <v>0</v>
      </c>
      <c r="L219" s="5">
        <f t="shared" si="16"/>
        <v>0</v>
      </c>
      <c r="M219" s="4">
        <v>0</v>
      </c>
      <c r="N219" s="4">
        <v>4</v>
      </c>
      <c r="O219" s="5">
        <f t="shared" si="17"/>
        <v>0.2</v>
      </c>
      <c r="P219" s="4">
        <v>4</v>
      </c>
      <c r="Q219" s="4">
        <v>0</v>
      </c>
      <c r="R219" s="4">
        <v>0</v>
      </c>
      <c r="S219" s="5">
        <f t="shared" si="18"/>
        <v>0</v>
      </c>
      <c r="T219" s="4">
        <v>0.26829268292682928</v>
      </c>
      <c r="U219" s="4">
        <f t="shared" si="19"/>
        <v>0.4682926829268293</v>
      </c>
    </row>
    <row r="220" spans="1:21" x14ac:dyDescent="0.25">
      <c r="A220" t="s">
        <v>87</v>
      </c>
      <c r="B220" s="1" t="s">
        <v>30</v>
      </c>
      <c r="C220" s="1" t="s">
        <v>94</v>
      </c>
      <c r="D220" t="s">
        <v>79</v>
      </c>
      <c r="E220">
        <v>74211</v>
      </c>
      <c r="F220" t="s">
        <v>57</v>
      </c>
      <c r="G220">
        <v>7000</v>
      </c>
      <c r="H220" s="4">
        <v>15</v>
      </c>
      <c r="I220" s="5">
        <f t="shared" si="15"/>
        <v>0.7142857142857143</v>
      </c>
      <c r="J220" s="4">
        <v>15</v>
      </c>
      <c r="K220" s="4">
        <v>5</v>
      </c>
      <c r="L220" s="5">
        <f t="shared" si="16"/>
        <v>0.23809523809523808</v>
      </c>
      <c r="M220" s="4">
        <v>5</v>
      </c>
      <c r="N220" s="4">
        <v>10</v>
      </c>
      <c r="O220" s="5">
        <f t="shared" si="17"/>
        <v>0.5</v>
      </c>
      <c r="P220" s="4">
        <v>11</v>
      </c>
      <c r="Q220" s="4">
        <v>3</v>
      </c>
      <c r="R220" s="4">
        <v>3</v>
      </c>
      <c r="S220" s="5">
        <f t="shared" si="18"/>
        <v>0.15</v>
      </c>
      <c r="T220" s="4">
        <v>0.95121951219512202</v>
      </c>
      <c r="U220" s="4">
        <f t="shared" si="19"/>
        <v>1.4512195121951219</v>
      </c>
    </row>
    <row r="221" spans="1:21" x14ac:dyDescent="0.25">
      <c r="A221" t="s">
        <v>81</v>
      </c>
      <c r="B221" s="1" t="s">
        <v>18</v>
      </c>
      <c r="C221" s="1" t="s">
        <v>94</v>
      </c>
      <c r="D221" t="s">
        <v>79</v>
      </c>
      <c r="E221">
        <v>74223</v>
      </c>
      <c r="F221" t="s">
        <v>57</v>
      </c>
      <c r="G221">
        <v>7000</v>
      </c>
      <c r="H221" s="4">
        <v>2</v>
      </c>
      <c r="I221" s="5">
        <f t="shared" si="15"/>
        <v>9.5238095238095233E-2</v>
      </c>
      <c r="J221" s="4">
        <v>2</v>
      </c>
      <c r="K221" s="4">
        <v>2</v>
      </c>
      <c r="L221" s="5">
        <f t="shared" si="16"/>
        <v>9.5238095238095233E-2</v>
      </c>
      <c r="M221" s="4">
        <v>2</v>
      </c>
      <c r="N221" s="4">
        <v>4</v>
      </c>
      <c r="O221" s="5">
        <f t="shared" si="17"/>
        <v>0.2</v>
      </c>
      <c r="P221" s="4">
        <v>5</v>
      </c>
      <c r="Q221" s="4">
        <v>0</v>
      </c>
      <c r="R221" s="4">
        <v>0</v>
      </c>
      <c r="S221" s="5">
        <f t="shared" si="18"/>
        <v>0</v>
      </c>
      <c r="T221" s="4">
        <v>0.31707317073170732</v>
      </c>
      <c r="U221" s="4">
        <f t="shared" si="19"/>
        <v>0.51707317073170733</v>
      </c>
    </row>
    <row r="222" spans="1:21" x14ac:dyDescent="0.25">
      <c r="A222" t="s">
        <v>87</v>
      </c>
      <c r="B222" s="1" t="s">
        <v>30</v>
      </c>
      <c r="C222" s="1" t="s">
        <v>94</v>
      </c>
      <c r="D222" t="s">
        <v>79</v>
      </c>
      <c r="E222">
        <v>74226</v>
      </c>
      <c r="F222" t="s">
        <v>57</v>
      </c>
      <c r="G222">
        <v>7000</v>
      </c>
      <c r="H222" s="4">
        <v>3</v>
      </c>
      <c r="I222" s="5">
        <f t="shared" si="15"/>
        <v>0.14285714285714285</v>
      </c>
      <c r="J222" s="4">
        <v>3</v>
      </c>
      <c r="K222" s="4">
        <v>0</v>
      </c>
      <c r="L222" s="5">
        <f t="shared" si="16"/>
        <v>0</v>
      </c>
      <c r="M222" s="4">
        <v>0</v>
      </c>
      <c r="N222" s="4">
        <v>2</v>
      </c>
      <c r="O222" s="5">
        <f t="shared" si="17"/>
        <v>0.1</v>
      </c>
      <c r="P222" s="4">
        <v>2</v>
      </c>
      <c r="Q222" s="4">
        <v>0</v>
      </c>
      <c r="R222" s="4">
        <v>0</v>
      </c>
      <c r="S222" s="5">
        <f t="shared" si="18"/>
        <v>0</v>
      </c>
      <c r="T222" s="4">
        <v>0.70731707317073178</v>
      </c>
      <c r="U222" s="4">
        <f t="shared" si="19"/>
        <v>0.80731707317073176</v>
      </c>
    </row>
    <row r="223" spans="1:21" x14ac:dyDescent="0.25">
      <c r="A223" t="s">
        <v>80</v>
      </c>
      <c r="B223" s="1" t="s">
        <v>29</v>
      </c>
      <c r="C223" s="1" t="s">
        <v>94</v>
      </c>
      <c r="D223" s="6" t="s">
        <v>88</v>
      </c>
      <c r="E223">
        <v>74229</v>
      </c>
      <c r="F223" t="s">
        <v>57</v>
      </c>
      <c r="G223">
        <v>7000</v>
      </c>
      <c r="H223" s="4">
        <v>1</v>
      </c>
      <c r="I223" s="5">
        <f t="shared" si="15"/>
        <v>4.7619047619047616E-2</v>
      </c>
      <c r="J223" s="4">
        <v>1</v>
      </c>
      <c r="K223" s="4">
        <v>0</v>
      </c>
      <c r="L223" s="5">
        <f t="shared" si="16"/>
        <v>0</v>
      </c>
      <c r="M223" s="4">
        <v>0</v>
      </c>
      <c r="N223" s="4">
        <v>0</v>
      </c>
      <c r="O223" s="5">
        <f t="shared" si="17"/>
        <v>0</v>
      </c>
      <c r="P223" s="4">
        <v>0</v>
      </c>
      <c r="Q223" s="4">
        <v>0</v>
      </c>
      <c r="R223" s="4">
        <v>0</v>
      </c>
      <c r="S223" s="5">
        <f t="shared" si="18"/>
        <v>0</v>
      </c>
      <c r="T223" s="4">
        <v>9.7560975609756101E-2</v>
      </c>
      <c r="U223" s="4">
        <f t="shared" si="19"/>
        <v>9.7560975609756101E-2</v>
      </c>
    </row>
    <row r="224" spans="1:21" x14ac:dyDescent="0.25">
      <c r="A224" t="s">
        <v>81</v>
      </c>
      <c r="B224" s="1" t="s">
        <v>18</v>
      </c>
      <c r="C224" s="1" t="s">
        <v>94</v>
      </c>
      <c r="D224" t="s">
        <v>79</v>
      </c>
      <c r="E224">
        <v>74232</v>
      </c>
      <c r="F224" t="s">
        <v>57</v>
      </c>
      <c r="G224">
        <v>7000</v>
      </c>
      <c r="H224" s="4">
        <v>6</v>
      </c>
      <c r="I224" s="5">
        <f t="shared" si="15"/>
        <v>0.2857142857142857</v>
      </c>
      <c r="J224" s="4">
        <v>6</v>
      </c>
      <c r="K224" s="4">
        <v>1</v>
      </c>
      <c r="L224" s="5">
        <f t="shared" si="16"/>
        <v>4.7619047619047616E-2</v>
      </c>
      <c r="M224" s="4">
        <v>1</v>
      </c>
      <c r="N224" s="4">
        <v>8</v>
      </c>
      <c r="O224" s="5">
        <f t="shared" si="17"/>
        <v>0.4</v>
      </c>
      <c r="P224" s="4">
        <v>9</v>
      </c>
      <c r="Q224" s="4">
        <v>2</v>
      </c>
      <c r="R224" s="4">
        <v>2</v>
      </c>
      <c r="S224" s="5">
        <f t="shared" si="18"/>
        <v>0.1</v>
      </c>
      <c r="T224" s="4">
        <v>0.56097560975609762</v>
      </c>
      <c r="U224" s="4">
        <f t="shared" si="19"/>
        <v>0.96097560975609764</v>
      </c>
    </row>
    <row r="225" spans="1:21" x14ac:dyDescent="0.25">
      <c r="A225" t="s">
        <v>80</v>
      </c>
      <c r="B225" s="1" t="s">
        <v>29</v>
      </c>
      <c r="C225" s="1" t="s">
        <v>94</v>
      </c>
      <c r="D225" s="6" t="s">
        <v>88</v>
      </c>
      <c r="E225">
        <v>74235</v>
      </c>
      <c r="F225" t="s">
        <v>57</v>
      </c>
      <c r="G225">
        <v>7000</v>
      </c>
      <c r="H225" s="4">
        <v>2</v>
      </c>
      <c r="I225" s="5">
        <f t="shared" si="15"/>
        <v>9.5238095238095233E-2</v>
      </c>
      <c r="J225" s="4">
        <v>2</v>
      </c>
      <c r="K225" s="4">
        <v>5</v>
      </c>
      <c r="L225" s="5">
        <f t="shared" si="16"/>
        <v>0.23809523809523808</v>
      </c>
      <c r="M225" s="4">
        <v>5</v>
      </c>
      <c r="N225" s="4">
        <v>5</v>
      </c>
      <c r="O225" s="5">
        <f t="shared" si="17"/>
        <v>0.25</v>
      </c>
      <c r="P225" s="4">
        <v>5</v>
      </c>
      <c r="Q225" s="4">
        <v>3</v>
      </c>
      <c r="R225" s="4">
        <v>3</v>
      </c>
      <c r="S225" s="5">
        <f t="shared" si="18"/>
        <v>0.15</v>
      </c>
      <c r="T225" s="4">
        <v>1.0975609756097562</v>
      </c>
      <c r="U225" s="4">
        <f t="shared" si="19"/>
        <v>1.3475609756097562</v>
      </c>
    </row>
    <row r="226" spans="1:21" x14ac:dyDescent="0.25">
      <c r="A226" t="s">
        <v>65</v>
      </c>
      <c r="B226" s="1" t="s">
        <v>18</v>
      </c>
      <c r="C226" s="1" t="s">
        <v>94</v>
      </c>
      <c r="D226" t="s">
        <v>88</v>
      </c>
      <c r="E226">
        <v>74245</v>
      </c>
      <c r="F226" t="s">
        <v>57</v>
      </c>
      <c r="G226">
        <v>7000</v>
      </c>
      <c r="H226" s="4">
        <v>2</v>
      </c>
      <c r="I226" s="5">
        <f t="shared" si="15"/>
        <v>9.5238095238095233E-2</v>
      </c>
      <c r="J226" s="4">
        <v>2</v>
      </c>
      <c r="K226" s="4">
        <v>0</v>
      </c>
      <c r="L226" s="5">
        <f t="shared" si="16"/>
        <v>0</v>
      </c>
      <c r="M226" s="4">
        <v>0</v>
      </c>
      <c r="N226" s="4">
        <v>0</v>
      </c>
      <c r="O226" s="5">
        <f t="shared" si="17"/>
        <v>0</v>
      </c>
      <c r="P226" s="4">
        <v>0</v>
      </c>
      <c r="Q226" s="4">
        <v>0</v>
      </c>
      <c r="R226" s="4">
        <v>0</v>
      </c>
      <c r="S226" s="5">
        <f t="shared" si="18"/>
        <v>0</v>
      </c>
      <c r="T226" s="4">
        <v>0</v>
      </c>
      <c r="U226" s="4">
        <f t="shared" si="19"/>
        <v>0</v>
      </c>
    </row>
    <row r="227" spans="1:21" x14ac:dyDescent="0.25">
      <c r="A227" t="s">
        <v>80</v>
      </c>
      <c r="B227" s="1" t="s">
        <v>29</v>
      </c>
      <c r="C227" s="1" t="s">
        <v>94</v>
      </c>
      <c r="D227" s="6" t="s">
        <v>88</v>
      </c>
      <c r="E227">
        <v>74246</v>
      </c>
      <c r="F227" t="s">
        <v>57</v>
      </c>
      <c r="G227">
        <v>7000</v>
      </c>
      <c r="H227" s="4">
        <v>1</v>
      </c>
      <c r="I227" s="5">
        <f t="shared" si="15"/>
        <v>4.7619047619047616E-2</v>
      </c>
      <c r="J227" s="4">
        <v>1</v>
      </c>
      <c r="K227" s="4">
        <v>0</v>
      </c>
      <c r="L227" s="5">
        <f t="shared" si="16"/>
        <v>0</v>
      </c>
      <c r="M227" s="4">
        <v>0</v>
      </c>
      <c r="N227" s="4">
        <v>1</v>
      </c>
      <c r="O227" s="5">
        <f t="shared" si="17"/>
        <v>0.05</v>
      </c>
      <c r="P227" s="4">
        <v>1</v>
      </c>
      <c r="Q227" s="4">
        <v>0</v>
      </c>
      <c r="R227" s="4">
        <v>0</v>
      </c>
      <c r="S227" s="5">
        <f t="shared" si="18"/>
        <v>0</v>
      </c>
      <c r="T227" s="4">
        <v>4.878048780487805E-2</v>
      </c>
      <c r="U227" s="4">
        <f t="shared" si="19"/>
        <v>9.8780487804878053E-2</v>
      </c>
    </row>
    <row r="228" spans="1:21" x14ac:dyDescent="0.25">
      <c r="A228" t="s">
        <v>81</v>
      </c>
      <c r="B228" s="1" t="s">
        <v>18</v>
      </c>
      <c r="C228" s="1" t="s">
        <v>94</v>
      </c>
      <c r="D228" t="s">
        <v>79</v>
      </c>
      <c r="E228">
        <v>74248</v>
      </c>
      <c r="F228" t="s">
        <v>57</v>
      </c>
      <c r="G228">
        <v>7000</v>
      </c>
      <c r="H228" s="4">
        <v>1</v>
      </c>
      <c r="I228" s="5">
        <f t="shared" si="15"/>
        <v>4.7619047619047616E-2</v>
      </c>
      <c r="J228" s="4">
        <v>1</v>
      </c>
      <c r="K228" s="4">
        <v>0</v>
      </c>
      <c r="L228" s="5">
        <f t="shared" si="16"/>
        <v>0</v>
      </c>
      <c r="M228" s="4">
        <v>0</v>
      </c>
      <c r="N228" s="4">
        <v>0</v>
      </c>
      <c r="O228" s="5">
        <f t="shared" si="17"/>
        <v>0</v>
      </c>
      <c r="P228" s="4">
        <v>0</v>
      </c>
      <c r="Q228" s="4">
        <v>0</v>
      </c>
      <c r="R228" s="4">
        <v>0</v>
      </c>
      <c r="S228" s="5">
        <f t="shared" si="18"/>
        <v>0</v>
      </c>
      <c r="T228" s="4">
        <v>0.26829268292682928</v>
      </c>
      <c r="U228" s="4">
        <f t="shared" si="19"/>
        <v>0.26829268292682928</v>
      </c>
    </row>
    <row r="229" spans="1:21" x14ac:dyDescent="0.25">
      <c r="A229" t="s">
        <v>65</v>
      </c>
      <c r="B229" s="1" t="s">
        <v>18</v>
      </c>
      <c r="C229" s="1" t="s">
        <v>94</v>
      </c>
      <c r="D229" t="s">
        <v>88</v>
      </c>
      <c r="E229">
        <v>74251</v>
      </c>
      <c r="F229" t="s">
        <v>57</v>
      </c>
      <c r="G229">
        <v>7000</v>
      </c>
      <c r="H229" s="4">
        <v>3</v>
      </c>
      <c r="I229" s="5">
        <f t="shared" si="15"/>
        <v>0.14285714285714285</v>
      </c>
      <c r="J229" s="4">
        <v>4</v>
      </c>
      <c r="K229" s="4">
        <v>0</v>
      </c>
      <c r="L229" s="5">
        <f t="shared" si="16"/>
        <v>0</v>
      </c>
      <c r="M229" s="4">
        <v>0</v>
      </c>
      <c r="N229" s="4">
        <v>3</v>
      </c>
      <c r="O229" s="5">
        <f t="shared" si="17"/>
        <v>0.15</v>
      </c>
      <c r="P229" s="4">
        <v>3</v>
      </c>
      <c r="Q229" s="4">
        <v>0</v>
      </c>
      <c r="R229" s="4">
        <v>0</v>
      </c>
      <c r="S229" s="5">
        <f t="shared" si="18"/>
        <v>0</v>
      </c>
      <c r="T229" s="4">
        <v>9.7560975609756101E-2</v>
      </c>
      <c r="U229" s="4">
        <f t="shared" si="19"/>
        <v>0.2475609756097561</v>
      </c>
    </row>
    <row r="230" spans="1:21" x14ac:dyDescent="0.25">
      <c r="A230" t="s">
        <v>87</v>
      </c>
      <c r="B230" s="1" t="s">
        <v>30</v>
      </c>
      <c r="C230" s="1" t="s">
        <v>94</v>
      </c>
      <c r="D230" t="s">
        <v>79</v>
      </c>
      <c r="E230">
        <v>74252</v>
      </c>
      <c r="F230" t="s">
        <v>57</v>
      </c>
      <c r="G230">
        <v>7000</v>
      </c>
      <c r="H230" s="4">
        <v>0</v>
      </c>
      <c r="I230" s="5">
        <f t="shared" si="15"/>
        <v>0</v>
      </c>
      <c r="J230" s="4">
        <v>0</v>
      </c>
      <c r="K230" s="4">
        <v>0</v>
      </c>
      <c r="L230" s="5">
        <f t="shared" si="16"/>
        <v>0</v>
      </c>
      <c r="M230" s="4">
        <v>0</v>
      </c>
      <c r="N230" s="4">
        <v>1</v>
      </c>
      <c r="O230" s="5">
        <f t="shared" si="17"/>
        <v>0.05</v>
      </c>
      <c r="P230" s="4">
        <v>1</v>
      </c>
      <c r="Q230" s="4">
        <v>0</v>
      </c>
      <c r="R230" s="4">
        <v>0</v>
      </c>
      <c r="S230" s="5">
        <f t="shared" si="18"/>
        <v>0</v>
      </c>
      <c r="T230" s="4">
        <v>0.21951219512195125</v>
      </c>
      <c r="U230" s="4">
        <f t="shared" si="19"/>
        <v>0.26951219512195124</v>
      </c>
    </row>
    <row r="231" spans="1:21" x14ac:dyDescent="0.25">
      <c r="A231" t="s">
        <v>80</v>
      </c>
      <c r="B231" s="1" t="s">
        <v>29</v>
      </c>
      <c r="C231" s="1" t="s">
        <v>94</v>
      </c>
      <c r="D231" t="s">
        <v>88</v>
      </c>
      <c r="E231">
        <v>74254</v>
      </c>
      <c r="F231" t="s">
        <v>57</v>
      </c>
      <c r="G231">
        <v>7000</v>
      </c>
      <c r="H231" s="4">
        <v>2</v>
      </c>
      <c r="I231" s="5">
        <f t="shared" si="15"/>
        <v>9.5238095238095233E-2</v>
      </c>
      <c r="J231" s="4">
        <v>2</v>
      </c>
      <c r="K231" s="4">
        <v>16</v>
      </c>
      <c r="L231" s="5">
        <f t="shared" si="16"/>
        <v>0.76190476190476186</v>
      </c>
      <c r="M231" s="4">
        <v>64</v>
      </c>
      <c r="N231" s="4">
        <v>1</v>
      </c>
      <c r="O231" s="5">
        <f t="shared" si="17"/>
        <v>0.05</v>
      </c>
      <c r="P231" s="4">
        <v>1</v>
      </c>
      <c r="Q231" s="4">
        <v>13</v>
      </c>
      <c r="R231" s="4">
        <v>61</v>
      </c>
      <c r="S231" s="5">
        <f t="shared" si="18"/>
        <v>0.65</v>
      </c>
      <c r="T231" s="4">
        <v>0.29268292682926833</v>
      </c>
      <c r="U231" s="4">
        <f t="shared" si="19"/>
        <v>0.34268292682926832</v>
      </c>
    </row>
    <row r="232" spans="1:21" x14ac:dyDescent="0.25">
      <c r="A232" t="s">
        <v>81</v>
      </c>
      <c r="B232" s="1" t="s">
        <v>29</v>
      </c>
      <c r="C232" s="1" t="s">
        <v>94</v>
      </c>
      <c r="D232" t="s">
        <v>79</v>
      </c>
      <c r="E232">
        <v>74257</v>
      </c>
      <c r="F232" t="s">
        <v>57</v>
      </c>
      <c r="G232">
        <v>7000</v>
      </c>
      <c r="H232" s="4">
        <v>0</v>
      </c>
      <c r="I232" s="5">
        <f t="shared" si="15"/>
        <v>0</v>
      </c>
      <c r="J232" s="4">
        <v>0</v>
      </c>
      <c r="K232" s="4">
        <v>0</v>
      </c>
      <c r="L232" s="5">
        <f t="shared" si="16"/>
        <v>0</v>
      </c>
      <c r="M232" s="4">
        <v>0</v>
      </c>
      <c r="N232" s="4">
        <v>3</v>
      </c>
      <c r="O232" s="5">
        <f t="shared" si="17"/>
        <v>0.15</v>
      </c>
      <c r="P232" s="4">
        <v>3</v>
      </c>
      <c r="Q232" s="4">
        <v>0</v>
      </c>
      <c r="R232" s="4">
        <v>0</v>
      </c>
      <c r="S232" s="5">
        <f t="shared" si="18"/>
        <v>0</v>
      </c>
      <c r="T232" s="4">
        <v>2.4390243902439025E-2</v>
      </c>
      <c r="U232" s="4">
        <f t="shared" si="19"/>
        <v>0.17439024390243901</v>
      </c>
    </row>
    <row r="233" spans="1:21" x14ac:dyDescent="0.25">
      <c r="A233" t="s">
        <v>78</v>
      </c>
      <c r="B233" s="1" t="s">
        <v>13</v>
      </c>
      <c r="C233" s="1" t="s">
        <v>94</v>
      </c>
      <c r="D233" t="s">
        <v>79</v>
      </c>
      <c r="E233">
        <v>74321</v>
      </c>
      <c r="F233" t="s">
        <v>57</v>
      </c>
      <c r="G233">
        <v>7000</v>
      </c>
      <c r="H233" s="4">
        <v>65</v>
      </c>
      <c r="I233" s="5">
        <f t="shared" si="15"/>
        <v>3.0952380952380953</v>
      </c>
      <c r="J233" s="4">
        <v>65</v>
      </c>
      <c r="K233" s="4">
        <v>43</v>
      </c>
      <c r="L233" s="5">
        <f t="shared" si="16"/>
        <v>2.0476190476190474</v>
      </c>
      <c r="M233" s="4">
        <v>56</v>
      </c>
      <c r="N233" s="4">
        <v>84</v>
      </c>
      <c r="O233" s="5">
        <f t="shared" si="17"/>
        <v>4.2</v>
      </c>
      <c r="P233" s="4">
        <v>86</v>
      </c>
      <c r="Q233" s="4">
        <v>46</v>
      </c>
      <c r="R233" s="4">
        <v>49</v>
      </c>
      <c r="S233" s="5">
        <f t="shared" si="18"/>
        <v>2.2999999999999998</v>
      </c>
      <c r="T233" s="4">
        <v>2.4878048780487809</v>
      </c>
      <c r="U233" s="4">
        <f t="shared" si="19"/>
        <v>6.6878048780487811</v>
      </c>
    </row>
    <row r="234" spans="1:21" x14ac:dyDescent="0.25">
      <c r="A234" t="s">
        <v>87</v>
      </c>
      <c r="B234" s="1" t="s">
        <v>28</v>
      </c>
      <c r="C234" s="1" t="s">
        <v>94</v>
      </c>
      <c r="D234" t="s">
        <v>79</v>
      </c>
      <c r="E234">
        <v>74336</v>
      </c>
      <c r="F234" t="s">
        <v>57</v>
      </c>
      <c r="G234">
        <v>7000</v>
      </c>
      <c r="H234" s="4">
        <v>14</v>
      </c>
      <c r="I234" s="5">
        <f t="shared" si="15"/>
        <v>0.66666666666666663</v>
      </c>
      <c r="J234" s="4">
        <v>14</v>
      </c>
      <c r="K234" s="4">
        <v>2</v>
      </c>
      <c r="L234" s="5">
        <f t="shared" si="16"/>
        <v>9.5238095238095233E-2</v>
      </c>
      <c r="M234" s="4">
        <v>2</v>
      </c>
      <c r="N234" s="4">
        <v>18</v>
      </c>
      <c r="O234" s="5">
        <f t="shared" si="17"/>
        <v>0.9</v>
      </c>
      <c r="P234" s="4">
        <v>19</v>
      </c>
      <c r="Q234" s="4">
        <v>3</v>
      </c>
      <c r="R234" s="4">
        <v>3</v>
      </c>
      <c r="S234" s="5">
        <f t="shared" si="18"/>
        <v>0.15</v>
      </c>
      <c r="T234" s="4">
        <v>1.0731707317073171</v>
      </c>
      <c r="U234" s="4">
        <f t="shared" si="19"/>
        <v>1.973170731707317</v>
      </c>
    </row>
    <row r="235" spans="1:21" x14ac:dyDescent="0.25">
      <c r="A235" t="s">
        <v>71</v>
      </c>
      <c r="B235" s="1" t="s">
        <v>28</v>
      </c>
      <c r="C235" s="1" t="s">
        <v>94</v>
      </c>
      <c r="D235" t="s">
        <v>72</v>
      </c>
      <c r="E235">
        <v>74343</v>
      </c>
      <c r="F235" t="s">
        <v>57</v>
      </c>
      <c r="G235">
        <v>7000</v>
      </c>
      <c r="H235" s="4">
        <v>6</v>
      </c>
      <c r="I235" s="5">
        <f t="shared" si="15"/>
        <v>0.2857142857142857</v>
      </c>
      <c r="J235" s="4">
        <v>6</v>
      </c>
      <c r="K235" s="4">
        <v>1</v>
      </c>
      <c r="L235" s="5">
        <f t="shared" si="16"/>
        <v>4.7619047619047616E-2</v>
      </c>
      <c r="M235" s="4">
        <v>1</v>
      </c>
      <c r="N235" s="4">
        <v>9</v>
      </c>
      <c r="O235" s="5">
        <f t="shared" si="17"/>
        <v>0.45</v>
      </c>
      <c r="P235" s="4">
        <v>9</v>
      </c>
      <c r="Q235" s="4">
        <v>0</v>
      </c>
      <c r="R235" s="4">
        <v>0</v>
      </c>
      <c r="S235" s="5">
        <f t="shared" si="18"/>
        <v>0</v>
      </c>
      <c r="T235" s="4">
        <v>1.5609756097560976</v>
      </c>
      <c r="U235" s="4">
        <f t="shared" si="19"/>
        <v>2.0109756097560978</v>
      </c>
    </row>
    <row r="236" spans="1:21" x14ac:dyDescent="0.25">
      <c r="A236" t="s">
        <v>81</v>
      </c>
      <c r="B236" s="1" t="s">
        <v>18</v>
      </c>
      <c r="C236" s="1" t="s">
        <v>94</v>
      </c>
      <c r="D236" t="s">
        <v>79</v>
      </c>
      <c r="E236">
        <v>74348</v>
      </c>
      <c r="F236" t="s">
        <v>57</v>
      </c>
      <c r="G236">
        <v>7000</v>
      </c>
      <c r="H236" s="4">
        <v>7</v>
      </c>
      <c r="I236" s="5">
        <f t="shared" si="15"/>
        <v>0.33333333333333331</v>
      </c>
      <c r="J236" s="4">
        <v>7</v>
      </c>
      <c r="K236" s="4">
        <v>0</v>
      </c>
      <c r="L236" s="5">
        <f t="shared" si="16"/>
        <v>0</v>
      </c>
      <c r="M236" s="4">
        <v>0</v>
      </c>
      <c r="N236" s="4">
        <v>8</v>
      </c>
      <c r="O236" s="5">
        <f t="shared" si="17"/>
        <v>0.4</v>
      </c>
      <c r="P236" s="4">
        <v>9</v>
      </c>
      <c r="Q236" s="4">
        <v>0</v>
      </c>
      <c r="R236" s="4">
        <v>0</v>
      </c>
      <c r="S236" s="5">
        <f t="shared" si="18"/>
        <v>0</v>
      </c>
      <c r="T236" s="4">
        <v>0.29268292682926833</v>
      </c>
      <c r="U236" s="4">
        <f t="shared" si="19"/>
        <v>0.69268292682926835</v>
      </c>
    </row>
    <row r="237" spans="1:21" x14ac:dyDescent="0.25">
      <c r="A237" t="s">
        <v>87</v>
      </c>
      <c r="B237" s="1" t="s">
        <v>28</v>
      </c>
      <c r="C237" s="1" t="s">
        <v>94</v>
      </c>
      <c r="D237" t="s">
        <v>79</v>
      </c>
      <c r="E237">
        <v>74354</v>
      </c>
      <c r="F237" t="s">
        <v>57</v>
      </c>
      <c r="G237">
        <v>7000</v>
      </c>
      <c r="H237" s="4">
        <v>7</v>
      </c>
      <c r="I237" s="5">
        <f t="shared" si="15"/>
        <v>0.33333333333333331</v>
      </c>
      <c r="J237" s="4">
        <v>8</v>
      </c>
      <c r="K237" s="4">
        <v>5</v>
      </c>
      <c r="L237" s="5">
        <f t="shared" si="16"/>
        <v>0.23809523809523808</v>
      </c>
      <c r="M237" s="4">
        <v>6</v>
      </c>
      <c r="N237" s="4">
        <v>11</v>
      </c>
      <c r="O237" s="5">
        <f t="shared" si="17"/>
        <v>0.55000000000000004</v>
      </c>
      <c r="P237" s="4">
        <v>11</v>
      </c>
      <c r="Q237" s="4">
        <v>9</v>
      </c>
      <c r="R237" s="4">
        <v>9</v>
      </c>
      <c r="S237" s="5">
        <f t="shared" si="18"/>
        <v>0.45</v>
      </c>
      <c r="T237" s="4">
        <v>1.0975609756097562</v>
      </c>
      <c r="U237" s="4">
        <f t="shared" si="19"/>
        <v>1.6475609756097562</v>
      </c>
    </row>
    <row r="238" spans="1:21" x14ac:dyDescent="0.25">
      <c r="A238" t="s">
        <v>87</v>
      </c>
      <c r="B238" s="1" t="s">
        <v>28</v>
      </c>
      <c r="C238" s="1" t="s">
        <v>94</v>
      </c>
      <c r="D238" t="s">
        <v>79</v>
      </c>
      <c r="E238">
        <v>74357</v>
      </c>
      <c r="F238" t="s">
        <v>57</v>
      </c>
      <c r="G238">
        <v>7000</v>
      </c>
      <c r="H238" s="4">
        <v>6</v>
      </c>
      <c r="I238" s="5">
        <f t="shared" si="15"/>
        <v>0.2857142857142857</v>
      </c>
      <c r="J238" s="4">
        <v>6</v>
      </c>
      <c r="K238" s="4">
        <v>0</v>
      </c>
      <c r="L238" s="5">
        <f t="shared" si="16"/>
        <v>0</v>
      </c>
      <c r="M238" s="4">
        <v>0</v>
      </c>
      <c r="N238" s="4">
        <v>7</v>
      </c>
      <c r="O238" s="5">
        <f t="shared" si="17"/>
        <v>0.35</v>
      </c>
      <c r="P238" s="4">
        <v>7</v>
      </c>
      <c r="Q238" s="4">
        <v>1</v>
      </c>
      <c r="R238" s="4">
        <v>1</v>
      </c>
      <c r="S238" s="5">
        <f t="shared" si="18"/>
        <v>0.05</v>
      </c>
      <c r="T238" s="4">
        <v>9.7560975609756101E-2</v>
      </c>
      <c r="U238" s="4">
        <f t="shared" si="19"/>
        <v>0.44756097560975605</v>
      </c>
    </row>
    <row r="239" spans="1:21" x14ac:dyDescent="0.25">
      <c r="A239" t="s">
        <v>81</v>
      </c>
      <c r="B239" s="1" t="s">
        <v>18</v>
      </c>
      <c r="C239" s="1" t="s">
        <v>94</v>
      </c>
      <c r="D239" t="s">
        <v>79</v>
      </c>
      <c r="E239">
        <v>74360</v>
      </c>
      <c r="F239" t="s">
        <v>57</v>
      </c>
      <c r="G239">
        <v>7000</v>
      </c>
      <c r="H239" s="4">
        <v>19</v>
      </c>
      <c r="I239" s="5">
        <f t="shared" si="15"/>
        <v>0.90476190476190477</v>
      </c>
      <c r="J239" s="4">
        <v>19</v>
      </c>
      <c r="K239" s="4">
        <v>1</v>
      </c>
      <c r="L239" s="5">
        <f t="shared" si="16"/>
        <v>4.7619047619047616E-2</v>
      </c>
      <c r="M239" s="4">
        <v>1</v>
      </c>
      <c r="N239" s="4">
        <v>31</v>
      </c>
      <c r="O239" s="5">
        <f t="shared" si="17"/>
        <v>1.55</v>
      </c>
      <c r="P239" s="4">
        <v>32</v>
      </c>
      <c r="Q239" s="4">
        <v>2</v>
      </c>
      <c r="R239" s="4">
        <v>2</v>
      </c>
      <c r="S239" s="5">
        <f t="shared" si="18"/>
        <v>0.1</v>
      </c>
      <c r="T239" s="4">
        <v>2.9512195121951228</v>
      </c>
      <c r="U239" s="4">
        <f t="shared" si="19"/>
        <v>4.5012195121951226</v>
      </c>
    </row>
    <row r="240" spans="1:21" x14ac:dyDescent="0.25">
      <c r="A240" t="s">
        <v>87</v>
      </c>
      <c r="B240" s="1" t="s">
        <v>28</v>
      </c>
      <c r="C240" s="1" t="s">
        <v>94</v>
      </c>
      <c r="D240" t="s">
        <v>79</v>
      </c>
      <c r="E240">
        <v>74363</v>
      </c>
      <c r="F240" t="s">
        <v>57</v>
      </c>
      <c r="G240">
        <v>7000</v>
      </c>
      <c r="H240" s="4">
        <v>27</v>
      </c>
      <c r="I240" s="5">
        <f t="shared" si="15"/>
        <v>1.2857142857142858</v>
      </c>
      <c r="J240" s="4">
        <v>38</v>
      </c>
      <c r="K240" s="4">
        <v>17</v>
      </c>
      <c r="L240" s="5">
        <f t="shared" si="16"/>
        <v>0.80952380952380953</v>
      </c>
      <c r="M240" s="4">
        <v>35</v>
      </c>
      <c r="N240" s="4">
        <v>14</v>
      </c>
      <c r="O240" s="5">
        <f t="shared" si="17"/>
        <v>0.7</v>
      </c>
      <c r="P240" s="4">
        <v>18</v>
      </c>
      <c r="Q240" s="4">
        <v>14</v>
      </c>
      <c r="R240" s="4">
        <v>30</v>
      </c>
      <c r="S240" s="5">
        <f t="shared" si="18"/>
        <v>0.7</v>
      </c>
      <c r="T240" s="4">
        <v>1.1219512195121952</v>
      </c>
      <c r="U240" s="4">
        <f t="shared" si="19"/>
        <v>1.8219512195121952</v>
      </c>
    </row>
    <row r="241" spans="1:21" x14ac:dyDescent="0.25">
      <c r="A241" t="s">
        <v>87</v>
      </c>
      <c r="B241" s="1" t="s">
        <v>28</v>
      </c>
      <c r="C241" s="1" t="s">
        <v>94</v>
      </c>
      <c r="D241" t="s">
        <v>79</v>
      </c>
      <c r="E241">
        <v>74366</v>
      </c>
      <c r="F241" t="s">
        <v>57</v>
      </c>
      <c r="G241">
        <v>7000</v>
      </c>
      <c r="H241" s="4">
        <v>6</v>
      </c>
      <c r="I241" s="5">
        <f t="shared" si="15"/>
        <v>0.2857142857142857</v>
      </c>
      <c r="J241" s="4">
        <v>6</v>
      </c>
      <c r="K241" s="4">
        <v>1</v>
      </c>
      <c r="L241" s="5">
        <f t="shared" si="16"/>
        <v>4.7619047619047616E-2</v>
      </c>
      <c r="M241" s="4">
        <v>1</v>
      </c>
      <c r="N241" s="4">
        <v>5</v>
      </c>
      <c r="O241" s="5">
        <f t="shared" si="17"/>
        <v>0.25</v>
      </c>
      <c r="P241" s="4">
        <v>5</v>
      </c>
      <c r="Q241" s="4">
        <v>1</v>
      </c>
      <c r="R241" s="4">
        <v>1</v>
      </c>
      <c r="S241" s="5">
        <f t="shared" si="18"/>
        <v>0.05</v>
      </c>
      <c r="T241" s="4">
        <v>0.31707317073170732</v>
      </c>
      <c r="U241" s="4">
        <f t="shared" si="19"/>
        <v>0.56707317073170738</v>
      </c>
    </row>
    <row r="242" spans="1:21" x14ac:dyDescent="0.25">
      <c r="A242" t="s">
        <v>87</v>
      </c>
      <c r="B242" s="1" t="s">
        <v>28</v>
      </c>
      <c r="C242" s="1" t="s">
        <v>94</v>
      </c>
      <c r="D242" t="s">
        <v>79</v>
      </c>
      <c r="E242">
        <v>74369</v>
      </c>
      <c r="F242" t="s">
        <v>57</v>
      </c>
      <c r="G242">
        <v>7000</v>
      </c>
      <c r="H242" s="4">
        <v>10</v>
      </c>
      <c r="I242" s="5">
        <f t="shared" si="15"/>
        <v>0.47619047619047616</v>
      </c>
      <c r="J242" s="4">
        <v>11</v>
      </c>
      <c r="K242" s="4">
        <v>0</v>
      </c>
      <c r="L242" s="5">
        <f t="shared" si="16"/>
        <v>0</v>
      </c>
      <c r="M242" s="4">
        <v>0</v>
      </c>
      <c r="N242" s="4">
        <v>10</v>
      </c>
      <c r="O242" s="5">
        <f t="shared" si="17"/>
        <v>0.5</v>
      </c>
      <c r="P242" s="4">
        <v>10</v>
      </c>
      <c r="Q242" s="4">
        <v>0</v>
      </c>
      <c r="R242" s="4">
        <v>0</v>
      </c>
      <c r="S242" s="5">
        <f t="shared" si="18"/>
        <v>0</v>
      </c>
      <c r="T242" s="4">
        <v>0.24390243902439027</v>
      </c>
      <c r="U242" s="4">
        <f t="shared" si="19"/>
        <v>0.74390243902439024</v>
      </c>
    </row>
    <row r="243" spans="1:21" x14ac:dyDescent="0.25">
      <c r="A243" t="s">
        <v>71</v>
      </c>
      <c r="B243" s="1" t="s">
        <v>28</v>
      </c>
      <c r="C243" s="1" t="s">
        <v>94</v>
      </c>
      <c r="D243" t="s">
        <v>72</v>
      </c>
      <c r="E243">
        <v>74372</v>
      </c>
      <c r="F243" t="s">
        <v>57</v>
      </c>
      <c r="G243">
        <v>7000</v>
      </c>
      <c r="H243" s="4">
        <v>4</v>
      </c>
      <c r="I243" s="5">
        <f t="shared" si="15"/>
        <v>0.19047619047619047</v>
      </c>
      <c r="J243" s="4">
        <v>4</v>
      </c>
      <c r="K243" s="4">
        <v>0</v>
      </c>
      <c r="L243" s="5">
        <f t="shared" si="16"/>
        <v>0</v>
      </c>
      <c r="M243" s="4">
        <v>0</v>
      </c>
      <c r="N243" s="4">
        <v>6</v>
      </c>
      <c r="O243" s="5">
        <f t="shared" si="17"/>
        <v>0.3</v>
      </c>
      <c r="P243" s="4">
        <v>6</v>
      </c>
      <c r="Q243" s="4">
        <v>0</v>
      </c>
      <c r="R243" s="4">
        <v>0</v>
      </c>
      <c r="S243" s="5">
        <f t="shared" si="18"/>
        <v>0</v>
      </c>
      <c r="T243" s="4">
        <v>0.51219512195121952</v>
      </c>
      <c r="U243" s="4">
        <f t="shared" si="19"/>
        <v>0.81219512195121957</v>
      </c>
    </row>
    <row r="244" spans="1:21" x14ac:dyDescent="0.25">
      <c r="A244" t="s">
        <v>87</v>
      </c>
      <c r="B244" s="1" t="s">
        <v>28</v>
      </c>
      <c r="C244" s="1" t="s">
        <v>94</v>
      </c>
      <c r="D244" t="s">
        <v>79</v>
      </c>
      <c r="E244">
        <v>74374</v>
      </c>
      <c r="F244" t="s">
        <v>57</v>
      </c>
      <c r="G244">
        <v>7000</v>
      </c>
      <c r="H244" s="4">
        <v>1</v>
      </c>
      <c r="I244" s="5">
        <f t="shared" si="15"/>
        <v>4.7619047619047616E-2</v>
      </c>
      <c r="J244" s="4">
        <v>1</v>
      </c>
      <c r="K244" s="4">
        <v>0</v>
      </c>
      <c r="L244" s="5">
        <f t="shared" si="16"/>
        <v>0</v>
      </c>
      <c r="M244" s="4">
        <v>0</v>
      </c>
      <c r="N244" s="4">
        <v>2</v>
      </c>
      <c r="O244" s="5">
        <f t="shared" si="17"/>
        <v>0.1</v>
      </c>
      <c r="P244" s="4">
        <v>2</v>
      </c>
      <c r="Q244" s="4">
        <v>0</v>
      </c>
      <c r="R244" s="4">
        <v>0</v>
      </c>
      <c r="S244" s="5">
        <f t="shared" si="18"/>
        <v>0</v>
      </c>
      <c r="T244" s="4">
        <v>0.31707317073170738</v>
      </c>
      <c r="U244" s="4">
        <f t="shared" si="19"/>
        <v>0.41707317073170735</v>
      </c>
    </row>
    <row r="245" spans="1:21" x14ac:dyDescent="0.25">
      <c r="A245" t="s">
        <v>87</v>
      </c>
      <c r="B245" s="1" t="s">
        <v>28</v>
      </c>
      <c r="C245" s="1" t="s">
        <v>94</v>
      </c>
      <c r="D245" t="s">
        <v>79</v>
      </c>
      <c r="E245">
        <v>74376</v>
      </c>
      <c r="F245" t="s">
        <v>57</v>
      </c>
      <c r="G245">
        <v>7000</v>
      </c>
      <c r="H245" s="4">
        <v>4</v>
      </c>
      <c r="I245" s="5">
        <f t="shared" si="15"/>
        <v>0.19047619047619047</v>
      </c>
      <c r="J245" s="4">
        <v>4</v>
      </c>
      <c r="K245" s="4">
        <v>1</v>
      </c>
      <c r="L245" s="5">
        <f t="shared" si="16"/>
        <v>4.7619047619047616E-2</v>
      </c>
      <c r="M245" s="4">
        <v>1</v>
      </c>
      <c r="N245" s="4">
        <v>5</v>
      </c>
      <c r="O245" s="5">
        <f t="shared" si="17"/>
        <v>0.25</v>
      </c>
      <c r="P245" s="4">
        <v>5</v>
      </c>
      <c r="Q245" s="4">
        <v>2</v>
      </c>
      <c r="R245" s="4">
        <v>2</v>
      </c>
      <c r="S245" s="5">
        <f t="shared" si="18"/>
        <v>0.1</v>
      </c>
      <c r="T245" s="4">
        <v>0.1951219512195122</v>
      </c>
      <c r="U245" s="4">
        <f t="shared" si="19"/>
        <v>0.4451219512195122</v>
      </c>
    </row>
    <row r="246" spans="1:21" x14ac:dyDescent="0.25">
      <c r="A246" t="s">
        <v>78</v>
      </c>
      <c r="B246" s="1" t="s">
        <v>13</v>
      </c>
      <c r="C246" s="1" t="s">
        <v>94</v>
      </c>
      <c r="D246" t="s">
        <v>79</v>
      </c>
      <c r="E246">
        <v>74379</v>
      </c>
      <c r="F246" t="s">
        <v>57</v>
      </c>
      <c r="G246">
        <v>7000</v>
      </c>
      <c r="H246" s="4">
        <v>2</v>
      </c>
      <c r="I246" s="5">
        <f t="shared" si="15"/>
        <v>9.5238095238095233E-2</v>
      </c>
      <c r="J246" s="4">
        <v>2</v>
      </c>
      <c r="K246" s="4">
        <v>0</v>
      </c>
      <c r="L246" s="5">
        <f t="shared" si="16"/>
        <v>0</v>
      </c>
      <c r="M246" s="4">
        <v>0</v>
      </c>
      <c r="N246" s="4">
        <v>2</v>
      </c>
      <c r="O246" s="5">
        <f t="shared" si="17"/>
        <v>0.1</v>
      </c>
      <c r="P246" s="4">
        <v>2</v>
      </c>
      <c r="Q246" s="4">
        <v>0</v>
      </c>
      <c r="R246" s="4">
        <v>0</v>
      </c>
      <c r="S246" s="5">
        <f t="shared" si="18"/>
        <v>0</v>
      </c>
      <c r="T246" s="4">
        <v>0.29268292682926828</v>
      </c>
      <c r="U246" s="4">
        <f t="shared" si="19"/>
        <v>0.39268292682926831</v>
      </c>
    </row>
    <row r="247" spans="1:21" x14ac:dyDescent="0.25">
      <c r="A247" t="s">
        <v>87</v>
      </c>
      <c r="B247" s="1" t="s">
        <v>28</v>
      </c>
      <c r="C247" s="1" t="s">
        <v>94</v>
      </c>
      <c r="D247" t="s">
        <v>79</v>
      </c>
      <c r="E247">
        <v>74382</v>
      </c>
      <c r="F247" t="s">
        <v>57</v>
      </c>
      <c r="G247">
        <v>7000</v>
      </c>
      <c r="H247" s="4">
        <v>0</v>
      </c>
      <c r="I247" s="5">
        <f t="shared" si="15"/>
        <v>0</v>
      </c>
      <c r="J247" s="4">
        <v>0</v>
      </c>
      <c r="K247" s="4">
        <v>0</v>
      </c>
      <c r="L247" s="5">
        <f t="shared" si="16"/>
        <v>0</v>
      </c>
      <c r="M247" s="4">
        <v>0</v>
      </c>
      <c r="N247" s="4">
        <v>2</v>
      </c>
      <c r="O247" s="5">
        <f t="shared" si="17"/>
        <v>0.1</v>
      </c>
      <c r="P247" s="4">
        <v>2</v>
      </c>
      <c r="Q247" s="4">
        <v>0</v>
      </c>
      <c r="R247" s="4">
        <v>0</v>
      </c>
      <c r="S247" s="5">
        <f t="shared" si="18"/>
        <v>0</v>
      </c>
      <c r="T247" s="4">
        <v>0.21951219512195122</v>
      </c>
      <c r="U247" s="4">
        <f t="shared" si="19"/>
        <v>0.31951219512195123</v>
      </c>
    </row>
    <row r="248" spans="1:21" x14ac:dyDescent="0.25">
      <c r="A248" t="s">
        <v>78</v>
      </c>
      <c r="B248" s="1" t="s">
        <v>13</v>
      </c>
      <c r="C248" s="1" t="s">
        <v>94</v>
      </c>
      <c r="D248" t="s">
        <v>79</v>
      </c>
      <c r="E248">
        <v>74385</v>
      </c>
      <c r="F248" t="s">
        <v>57</v>
      </c>
      <c r="G248">
        <v>7000</v>
      </c>
      <c r="H248" s="4">
        <v>1</v>
      </c>
      <c r="I248" s="5">
        <f t="shared" si="15"/>
        <v>4.7619047619047616E-2</v>
      </c>
      <c r="J248" s="4">
        <v>1</v>
      </c>
      <c r="K248" s="4">
        <v>2</v>
      </c>
      <c r="L248" s="5">
        <f t="shared" si="16"/>
        <v>9.5238095238095233E-2</v>
      </c>
      <c r="M248" s="4">
        <v>2</v>
      </c>
      <c r="N248" s="4">
        <v>4</v>
      </c>
      <c r="O248" s="5">
        <f t="shared" si="17"/>
        <v>0.2</v>
      </c>
      <c r="P248" s="4">
        <v>4</v>
      </c>
      <c r="Q248" s="4">
        <v>5</v>
      </c>
      <c r="R248" s="4">
        <v>5</v>
      </c>
      <c r="S248" s="5">
        <f t="shared" si="18"/>
        <v>0.25</v>
      </c>
      <c r="T248" s="4">
        <v>0.78048780487804881</v>
      </c>
      <c r="U248" s="4">
        <f t="shared" si="19"/>
        <v>0.98048780487804876</v>
      </c>
    </row>
    <row r="249" spans="1:21" x14ac:dyDescent="0.25">
      <c r="A249" t="s">
        <v>81</v>
      </c>
      <c r="B249" s="1" t="s">
        <v>18</v>
      </c>
      <c r="C249" s="1" t="s">
        <v>94</v>
      </c>
      <c r="D249" t="s">
        <v>79</v>
      </c>
      <c r="E249">
        <v>74388</v>
      </c>
      <c r="F249" t="s">
        <v>57</v>
      </c>
      <c r="G249">
        <v>7000</v>
      </c>
      <c r="H249" s="4">
        <v>8</v>
      </c>
      <c r="I249" s="5">
        <f t="shared" si="15"/>
        <v>0.38095238095238093</v>
      </c>
      <c r="J249" s="4">
        <v>8</v>
      </c>
      <c r="K249" s="4">
        <v>4</v>
      </c>
      <c r="L249" s="5">
        <f t="shared" si="16"/>
        <v>0.19047619047619047</v>
      </c>
      <c r="M249" s="4">
        <v>4</v>
      </c>
      <c r="N249" s="4">
        <v>11</v>
      </c>
      <c r="O249" s="5">
        <f t="shared" si="17"/>
        <v>0.55000000000000004</v>
      </c>
      <c r="P249" s="4">
        <v>11</v>
      </c>
      <c r="Q249" s="4">
        <v>3</v>
      </c>
      <c r="R249" s="4">
        <v>3</v>
      </c>
      <c r="S249" s="5">
        <f t="shared" si="18"/>
        <v>0.15</v>
      </c>
      <c r="T249" s="4">
        <v>0.29268292682926828</v>
      </c>
      <c r="U249" s="4">
        <f t="shared" si="19"/>
        <v>0.84268292682926838</v>
      </c>
    </row>
    <row r="250" spans="1:21" x14ac:dyDescent="0.25">
      <c r="A250" t="s">
        <v>87</v>
      </c>
      <c r="B250" s="1" t="s">
        <v>28</v>
      </c>
      <c r="C250" s="1" t="s">
        <v>94</v>
      </c>
      <c r="D250" t="s">
        <v>79</v>
      </c>
      <c r="E250">
        <v>74389</v>
      </c>
      <c r="F250" t="s">
        <v>57</v>
      </c>
      <c r="G250">
        <v>7000</v>
      </c>
      <c r="H250" s="4">
        <v>6</v>
      </c>
      <c r="I250" s="5">
        <f t="shared" si="15"/>
        <v>0.2857142857142857</v>
      </c>
      <c r="J250" s="4">
        <v>6</v>
      </c>
      <c r="K250" s="4">
        <v>3</v>
      </c>
      <c r="L250" s="5">
        <f t="shared" si="16"/>
        <v>0.14285714285714285</v>
      </c>
      <c r="M250" s="4">
        <v>3</v>
      </c>
      <c r="N250" s="4">
        <v>8</v>
      </c>
      <c r="O250" s="5">
        <f t="shared" si="17"/>
        <v>0.4</v>
      </c>
      <c r="P250" s="4">
        <v>8</v>
      </c>
      <c r="Q250" s="4">
        <v>0</v>
      </c>
      <c r="R250" s="4">
        <v>0</v>
      </c>
      <c r="S250" s="5">
        <f t="shared" si="18"/>
        <v>0</v>
      </c>
      <c r="T250" s="4">
        <v>0.24390243902439024</v>
      </c>
      <c r="U250" s="4">
        <f t="shared" si="19"/>
        <v>0.64390243902439026</v>
      </c>
    </row>
    <row r="251" spans="1:21" x14ac:dyDescent="0.25">
      <c r="A251" t="s">
        <v>87</v>
      </c>
      <c r="B251" s="1" t="s">
        <v>28</v>
      </c>
      <c r="C251" s="1" t="s">
        <v>94</v>
      </c>
      <c r="D251" t="s">
        <v>79</v>
      </c>
      <c r="E251">
        <v>74391</v>
      </c>
      <c r="F251" t="s">
        <v>57</v>
      </c>
      <c r="G251">
        <v>7000</v>
      </c>
      <c r="H251" s="4">
        <v>4</v>
      </c>
      <c r="I251" s="5">
        <f t="shared" si="15"/>
        <v>0.19047619047619047</v>
      </c>
      <c r="J251" s="4">
        <v>4</v>
      </c>
      <c r="K251" s="4">
        <v>12</v>
      </c>
      <c r="L251" s="5">
        <f t="shared" si="16"/>
        <v>0.5714285714285714</v>
      </c>
      <c r="M251" s="4">
        <v>33</v>
      </c>
      <c r="N251" s="4">
        <v>6</v>
      </c>
      <c r="O251" s="5">
        <f t="shared" si="17"/>
        <v>0.3</v>
      </c>
      <c r="P251" s="4">
        <v>6</v>
      </c>
      <c r="Q251" s="4">
        <v>7</v>
      </c>
      <c r="R251" s="4">
        <v>15</v>
      </c>
      <c r="S251" s="5">
        <f t="shared" si="18"/>
        <v>0.35</v>
      </c>
      <c r="T251" s="4">
        <v>0.14634146341463417</v>
      </c>
      <c r="U251" s="4">
        <f t="shared" si="19"/>
        <v>0.44634146341463415</v>
      </c>
    </row>
    <row r="252" spans="1:21" x14ac:dyDescent="0.25">
      <c r="A252" t="s">
        <v>87</v>
      </c>
      <c r="B252" s="1" t="s">
        <v>28</v>
      </c>
      <c r="C252" s="1" t="s">
        <v>94</v>
      </c>
      <c r="D252" t="s">
        <v>79</v>
      </c>
      <c r="E252">
        <v>74392</v>
      </c>
      <c r="F252" t="s">
        <v>57</v>
      </c>
      <c r="G252">
        <v>7000</v>
      </c>
      <c r="H252" s="4">
        <v>1</v>
      </c>
      <c r="I252" s="5">
        <f t="shared" si="15"/>
        <v>4.7619047619047616E-2</v>
      </c>
      <c r="J252" s="4">
        <v>1</v>
      </c>
      <c r="K252" s="4">
        <v>0</v>
      </c>
      <c r="L252" s="5">
        <f t="shared" si="16"/>
        <v>0</v>
      </c>
      <c r="M252" s="4">
        <v>0</v>
      </c>
      <c r="N252" s="4">
        <v>1</v>
      </c>
      <c r="O252" s="5">
        <f t="shared" si="17"/>
        <v>0.05</v>
      </c>
      <c r="P252" s="4">
        <v>1</v>
      </c>
      <c r="Q252" s="4">
        <v>0</v>
      </c>
      <c r="R252" s="4">
        <v>0</v>
      </c>
      <c r="S252" s="5">
        <f t="shared" si="18"/>
        <v>0</v>
      </c>
      <c r="T252" s="4">
        <v>2.4390243902439025E-2</v>
      </c>
      <c r="U252" s="4">
        <f t="shared" si="19"/>
        <v>7.4390243902439035E-2</v>
      </c>
    </row>
    <row r="253" spans="1:21" x14ac:dyDescent="0.25">
      <c r="A253" t="s">
        <v>78</v>
      </c>
      <c r="B253" s="1" t="s">
        <v>13</v>
      </c>
      <c r="C253" s="1" t="s">
        <v>94</v>
      </c>
      <c r="D253" t="s">
        <v>79</v>
      </c>
      <c r="E253">
        <v>74394</v>
      </c>
      <c r="F253" t="s">
        <v>57</v>
      </c>
      <c r="G253">
        <v>7000</v>
      </c>
      <c r="H253" s="4">
        <v>1</v>
      </c>
      <c r="I253" s="5">
        <f t="shared" si="15"/>
        <v>4.7619047619047616E-2</v>
      </c>
      <c r="J253" s="4">
        <v>1</v>
      </c>
      <c r="K253" s="4">
        <v>0</v>
      </c>
      <c r="L253" s="5">
        <f t="shared" si="16"/>
        <v>0</v>
      </c>
      <c r="M253" s="4">
        <v>0</v>
      </c>
      <c r="N253" s="4">
        <v>1</v>
      </c>
      <c r="O253" s="5">
        <f t="shared" si="17"/>
        <v>0.05</v>
      </c>
      <c r="P253" s="4">
        <v>1</v>
      </c>
      <c r="Q253" s="4">
        <v>0</v>
      </c>
      <c r="R253" s="4">
        <v>0</v>
      </c>
      <c r="S253" s="5">
        <f t="shared" si="18"/>
        <v>0</v>
      </c>
      <c r="T253" s="4">
        <v>2.4390243902439025E-2</v>
      </c>
      <c r="U253" s="4">
        <f t="shared" si="19"/>
        <v>7.4390243902439035E-2</v>
      </c>
    </row>
    <row r="254" spans="1:21" x14ac:dyDescent="0.25">
      <c r="A254" t="s">
        <v>78</v>
      </c>
      <c r="B254" s="1" t="s">
        <v>13</v>
      </c>
      <c r="C254" s="1" t="s">
        <v>94</v>
      </c>
      <c r="D254" t="s">
        <v>79</v>
      </c>
      <c r="E254">
        <v>74395</v>
      </c>
      <c r="F254" t="s">
        <v>57</v>
      </c>
      <c r="G254">
        <v>7000</v>
      </c>
      <c r="H254" s="4">
        <v>1</v>
      </c>
      <c r="I254" s="5">
        <f t="shared" si="15"/>
        <v>4.7619047619047616E-2</v>
      </c>
      <c r="J254" s="4">
        <v>1</v>
      </c>
      <c r="K254" s="4">
        <v>0</v>
      </c>
      <c r="L254" s="5">
        <f t="shared" si="16"/>
        <v>0</v>
      </c>
      <c r="M254" s="4">
        <v>0</v>
      </c>
      <c r="N254" s="4">
        <v>0</v>
      </c>
      <c r="O254" s="5">
        <f t="shared" si="17"/>
        <v>0</v>
      </c>
      <c r="P254" s="4">
        <v>0</v>
      </c>
      <c r="Q254" s="4">
        <v>1</v>
      </c>
      <c r="R254" s="4">
        <v>1</v>
      </c>
      <c r="S254" s="5">
        <f t="shared" si="18"/>
        <v>0.05</v>
      </c>
      <c r="T254" s="4">
        <v>4.878048780487805E-2</v>
      </c>
      <c r="U254" s="4">
        <f t="shared" si="19"/>
        <v>4.878048780487805E-2</v>
      </c>
    </row>
    <row r="255" spans="1:21" x14ac:dyDescent="0.25">
      <c r="A255" t="s">
        <v>87</v>
      </c>
      <c r="B255" s="1" t="s">
        <v>28</v>
      </c>
      <c r="C255" s="1" t="s">
        <v>94</v>
      </c>
      <c r="D255" t="s">
        <v>79</v>
      </c>
      <c r="E255">
        <v>74397</v>
      </c>
      <c r="F255" t="s">
        <v>57</v>
      </c>
      <c r="G255">
        <v>7000</v>
      </c>
      <c r="H255" s="4">
        <v>0</v>
      </c>
      <c r="I255" s="5">
        <f t="shared" si="15"/>
        <v>0</v>
      </c>
      <c r="J255" s="4">
        <v>0</v>
      </c>
      <c r="K255" s="4">
        <v>0</v>
      </c>
      <c r="L255" s="5">
        <f t="shared" si="16"/>
        <v>0</v>
      </c>
      <c r="M255" s="4">
        <v>0</v>
      </c>
      <c r="N255" s="4">
        <v>5</v>
      </c>
      <c r="O255" s="5">
        <f t="shared" si="17"/>
        <v>0.25</v>
      </c>
      <c r="P255" s="4">
        <v>5</v>
      </c>
      <c r="Q255" s="4">
        <v>0</v>
      </c>
      <c r="R255" s="4">
        <v>0</v>
      </c>
      <c r="S255" s="5">
        <f t="shared" si="18"/>
        <v>0</v>
      </c>
      <c r="T255" s="4">
        <v>0.19512195121951217</v>
      </c>
      <c r="U255" s="4">
        <f t="shared" si="19"/>
        <v>0.44512195121951215</v>
      </c>
    </row>
    <row r="256" spans="1:21" x14ac:dyDescent="0.25">
      <c r="A256" t="s">
        <v>87</v>
      </c>
      <c r="B256" s="1" t="s">
        <v>28</v>
      </c>
      <c r="C256" s="1" t="s">
        <v>94</v>
      </c>
      <c r="D256" t="s">
        <v>79</v>
      </c>
      <c r="E256">
        <v>74399</v>
      </c>
      <c r="F256" t="s">
        <v>57</v>
      </c>
      <c r="G256">
        <v>7000</v>
      </c>
      <c r="H256" s="4">
        <v>0</v>
      </c>
      <c r="I256" s="5">
        <f t="shared" si="15"/>
        <v>0</v>
      </c>
      <c r="J256" s="4">
        <v>0</v>
      </c>
      <c r="K256" s="4">
        <v>0</v>
      </c>
      <c r="L256" s="5">
        <f t="shared" si="16"/>
        <v>0</v>
      </c>
      <c r="M256" s="4">
        <v>0</v>
      </c>
      <c r="N256" s="4">
        <v>2</v>
      </c>
      <c r="O256" s="5">
        <f t="shared" si="17"/>
        <v>0.1</v>
      </c>
      <c r="P256" s="4">
        <v>2</v>
      </c>
      <c r="Q256" s="4">
        <v>0</v>
      </c>
      <c r="R256" s="4">
        <v>0</v>
      </c>
      <c r="S256" s="5">
        <f t="shared" si="18"/>
        <v>0</v>
      </c>
      <c r="T256" s="4">
        <v>2.4390243902439025E-2</v>
      </c>
      <c r="U256" s="4">
        <f t="shared" si="19"/>
        <v>0.12439024390243902</v>
      </c>
    </row>
    <row r="257" spans="1:21" x14ac:dyDescent="0.25">
      <c r="A257" t="s">
        <v>71</v>
      </c>
      <c r="B257" s="1" t="s">
        <v>22</v>
      </c>
      <c r="C257" s="1" t="s">
        <v>94</v>
      </c>
      <c r="D257" t="s">
        <v>72</v>
      </c>
      <c r="E257">
        <v>75015</v>
      </c>
      <c r="F257" t="s">
        <v>57</v>
      </c>
      <c r="G257">
        <v>7000</v>
      </c>
      <c r="H257" s="4">
        <v>31</v>
      </c>
      <c r="I257" s="5">
        <f t="shared" si="15"/>
        <v>1.4761904761904763</v>
      </c>
      <c r="J257" s="4">
        <v>32</v>
      </c>
      <c r="K257" s="4">
        <v>4</v>
      </c>
      <c r="L257" s="5">
        <f t="shared" si="16"/>
        <v>0.19047619047619047</v>
      </c>
      <c r="M257" s="4">
        <v>4</v>
      </c>
      <c r="N257" s="4">
        <v>28</v>
      </c>
      <c r="O257" s="5">
        <f t="shared" si="17"/>
        <v>1.4</v>
      </c>
      <c r="P257" s="4">
        <v>28</v>
      </c>
      <c r="Q257" s="4">
        <v>4</v>
      </c>
      <c r="R257" s="4">
        <v>4</v>
      </c>
      <c r="S257" s="5">
        <f t="shared" si="18"/>
        <v>0.2</v>
      </c>
      <c r="T257" s="4">
        <v>1.9268292682926831</v>
      </c>
      <c r="U257" s="4">
        <f t="shared" si="19"/>
        <v>3.3268292682926832</v>
      </c>
    </row>
    <row r="258" spans="1:21" x14ac:dyDescent="0.25">
      <c r="A258" t="s">
        <v>87</v>
      </c>
      <c r="B258" s="1" t="s">
        <v>28</v>
      </c>
      <c r="C258" s="1" t="s">
        <v>94</v>
      </c>
      <c r="D258" t="s">
        <v>79</v>
      </c>
      <c r="E258">
        <v>75031</v>
      </c>
      <c r="F258" t="s">
        <v>57</v>
      </c>
      <c r="G258">
        <v>7000</v>
      </c>
      <c r="H258" s="4">
        <v>24</v>
      </c>
      <c r="I258" s="5">
        <f t="shared" ref="I258:I321" si="20">H258/21</f>
        <v>1.1428571428571428</v>
      </c>
      <c r="J258" s="4">
        <v>24</v>
      </c>
      <c r="K258" s="4">
        <v>4</v>
      </c>
      <c r="L258" s="5">
        <f t="shared" ref="L258:L321" si="21">K258/21</f>
        <v>0.19047619047619047</v>
      </c>
      <c r="M258" s="4">
        <v>4</v>
      </c>
      <c r="N258" s="4">
        <v>24</v>
      </c>
      <c r="O258" s="5">
        <f t="shared" ref="O258:O321" si="22">N258/20</f>
        <v>1.2</v>
      </c>
      <c r="P258" s="4">
        <v>25</v>
      </c>
      <c r="Q258" s="4">
        <v>4</v>
      </c>
      <c r="R258" s="4">
        <v>4</v>
      </c>
      <c r="S258" s="5">
        <f t="shared" ref="S258:S302" si="23">Q258/20</f>
        <v>0.2</v>
      </c>
      <c r="T258" s="4">
        <v>1.6585365853658538</v>
      </c>
      <c r="U258" s="4">
        <f t="shared" si="19"/>
        <v>2.8585365853658535</v>
      </c>
    </row>
    <row r="259" spans="1:21" x14ac:dyDescent="0.25">
      <c r="A259" t="s">
        <v>71</v>
      </c>
      <c r="B259" s="1" t="s">
        <v>22</v>
      </c>
      <c r="C259" s="1" t="s">
        <v>94</v>
      </c>
      <c r="D259" t="s">
        <v>72</v>
      </c>
      <c r="E259">
        <v>75038</v>
      </c>
      <c r="F259" t="s">
        <v>57</v>
      </c>
      <c r="G259">
        <v>7000</v>
      </c>
      <c r="H259" s="4">
        <v>7</v>
      </c>
      <c r="I259" s="5">
        <f t="shared" si="20"/>
        <v>0.33333333333333331</v>
      </c>
      <c r="J259" s="4">
        <v>7</v>
      </c>
      <c r="K259" s="4">
        <v>6</v>
      </c>
      <c r="L259" s="5">
        <f t="shared" si="21"/>
        <v>0.2857142857142857</v>
      </c>
      <c r="M259" s="4">
        <v>12</v>
      </c>
      <c r="N259" s="4">
        <v>4</v>
      </c>
      <c r="O259" s="5">
        <f t="shared" si="22"/>
        <v>0.2</v>
      </c>
      <c r="P259" s="4">
        <v>4</v>
      </c>
      <c r="Q259" s="4">
        <v>6</v>
      </c>
      <c r="R259" s="4">
        <v>6</v>
      </c>
      <c r="S259" s="5">
        <f t="shared" si="23"/>
        <v>0.3</v>
      </c>
      <c r="T259" s="4">
        <v>0.4390243902439025</v>
      </c>
      <c r="U259" s="4">
        <f t="shared" ref="U259:U302" si="24">T259+O259</f>
        <v>0.63902439024390256</v>
      </c>
    </row>
    <row r="260" spans="1:21" x14ac:dyDescent="0.25">
      <c r="A260" t="s">
        <v>87</v>
      </c>
      <c r="B260" s="1" t="s">
        <v>28</v>
      </c>
      <c r="C260" s="1" t="s">
        <v>94</v>
      </c>
      <c r="D260" t="s">
        <v>79</v>
      </c>
      <c r="E260">
        <v>75050</v>
      </c>
      <c r="F260" t="s">
        <v>57</v>
      </c>
      <c r="G260">
        <v>7000</v>
      </c>
      <c r="H260" s="4">
        <v>4</v>
      </c>
      <c r="I260" s="5">
        <f t="shared" si="20"/>
        <v>0.19047619047619047</v>
      </c>
      <c r="J260" s="4">
        <v>4</v>
      </c>
      <c r="K260" s="4">
        <v>1</v>
      </c>
      <c r="L260" s="5">
        <f t="shared" si="21"/>
        <v>4.7619047619047616E-2</v>
      </c>
      <c r="M260" s="4">
        <v>1</v>
      </c>
      <c r="N260" s="4">
        <v>2</v>
      </c>
      <c r="O260" s="5">
        <f t="shared" si="22"/>
        <v>0.1</v>
      </c>
      <c r="P260" s="4">
        <v>2</v>
      </c>
      <c r="Q260" s="4">
        <v>1</v>
      </c>
      <c r="R260" s="4">
        <v>1</v>
      </c>
      <c r="S260" s="5">
        <f t="shared" si="23"/>
        <v>0.05</v>
      </c>
      <c r="T260" s="4">
        <v>0.3902439024390244</v>
      </c>
      <c r="U260" s="4">
        <f t="shared" si="24"/>
        <v>0.49024390243902438</v>
      </c>
    </row>
    <row r="261" spans="1:21" x14ac:dyDescent="0.25">
      <c r="A261" t="s">
        <v>71</v>
      </c>
      <c r="B261" s="1" t="s">
        <v>22</v>
      </c>
      <c r="C261" s="1" t="s">
        <v>94</v>
      </c>
      <c r="D261" t="s">
        <v>72</v>
      </c>
      <c r="E261">
        <v>75056</v>
      </c>
      <c r="F261" t="s">
        <v>57</v>
      </c>
      <c r="G261">
        <v>7000</v>
      </c>
      <c r="H261" s="4">
        <v>3</v>
      </c>
      <c r="I261" s="5">
        <f t="shared" si="20"/>
        <v>0.14285714285714285</v>
      </c>
      <c r="J261" s="4">
        <v>3</v>
      </c>
      <c r="K261" s="4">
        <v>0</v>
      </c>
      <c r="L261" s="5">
        <f t="shared" si="21"/>
        <v>0</v>
      </c>
      <c r="M261" s="4">
        <v>0</v>
      </c>
      <c r="N261" s="4">
        <v>1</v>
      </c>
      <c r="O261" s="5">
        <f t="shared" si="22"/>
        <v>0.05</v>
      </c>
      <c r="P261" s="4">
        <v>1</v>
      </c>
      <c r="Q261" s="4">
        <v>0</v>
      </c>
      <c r="R261" s="4">
        <v>0</v>
      </c>
      <c r="S261" s="5">
        <f t="shared" si="23"/>
        <v>0</v>
      </c>
      <c r="T261" s="4">
        <v>0.14634146341463414</v>
      </c>
      <c r="U261" s="4">
        <f t="shared" si="24"/>
        <v>0.19634146341463415</v>
      </c>
    </row>
    <row r="262" spans="1:21" x14ac:dyDescent="0.25">
      <c r="A262" t="s">
        <v>71</v>
      </c>
      <c r="B262" s="1" t="s">
        <v>22</v>
      </c>
      <c r="C262" s="1" t="s">
        <v>94</v>
      </c>
      <c r="D262" t="s">
        <v>72</v>
      </c>
      <c r="E262">
        <v>75057</v>
      </c>
      <c r="F262" t="s">
        <v>57</v>
      </c>
      <c r="G262">
        <v>7000</v>
      </c>
      <c r="H262" s="4">
        <v>0</v>
      </c>
      <c r="I262" s="5">
        <f t="shared" si="20"/>
        <v>0</v>
      </c>
      <c r="J262" s="4">
        <v>0</v>
      </c>
      <c r="K262" s="4">
        <v>0</v>
      </c>
      <c r="L262" s="5">
        <f t="shared" si="21"/>
        <v>0</v>
      </c>
      <c r="M262" s="4">
        <v>0</v>
      </c>
      <c r="N262" s="4">
        <v>5</v>
      </c>
      <c r="O262" s="5">
        <f t="shared" si="22"/>
        <v>0.25</v>
      </c>
      <c r="P262" s="4">
        <v>5</v>
      </c>
      <c r="Q262" s="4">
        <v>0</v>
      </c>
      <c r="R262" s="4">
        <v>0</v>
      </c>
      <c r="S262" s="5">
        <f t="shared" si="23"/>
        <v>0</v>
      </c>
      <c r="T262" s="4">
        <v>0.14634146341463417</v>
      </c>
      <c r="U262" s="4">
        <f t="shared" si="24"/>
        <v>0.39634146341463417</v>
      </c>
    </row>
    <row r="263" spans="1:21" x14ac:dyDescent="0.25">
      <c r="A263" t="s">
        <v>71</v>
      </c>
      <c r="B263" s="1" t="s">
        <v>22</v>
      </c>
      <c r="C263" s="1" t="s">
        <v>94</v>
      </c>
      <c r="D263" t="s">
        <v>72</v>
      </c>
      <c r="E263">
        <v>75059</v>
      </c>
      <c r="F263" t="s">
        <v>57</v>
      </c>
      <c r="G263">
        <v>7000</v>
      </c>
      <c r="H263" s="4">
        <v>1</v>
      </c>
      <c r="I263" s="5">
        <f t="shared" si="20"/>
        <v>4.7619047619047616E-2</v>
      </c>
      <c r="J263" s="4">
        <v>1</v>
      </c>
      <c r="K263" s="4">
        <v>0</v>
      </c>
      <c r="L263" s="5">
        <f t="shared" si="21"/>
        <v>0</v>
      </c>
      <c r="M263" s="4">
        <v>0</v>
      </c>
      <c r="N263" s="4">
        <v>2</v>
      </c>
      <c r="O263" s="5">
        <f t="shared" si="22"/>
        <v>0.1</v>
      </c>
      <c r="P263" s="4">
        <v>2</v>
      </c>
      <c r="Q263" s="4">
        <v>1</v>
      </c>
      <c r="R263" s="4">
        <v>1</v>
      </c>
      <c r="S263" s="5">
        <f t="shared" si="23"/>
        <v>0.05</v>
      </c>
      <c r="T263" s="4">
        <v>0.12195121951219512</v>
      </c>
      <c r="U263" s="4">
        <f t="shared" si="24"/>
        <v>0.22195121951219512</v>
      </c>
    </row>
    <row r="264" spans="1:21" x14ac:dyDescent="0.25">
      <c r="A264" t="s">
        <v>83</v>
      </c>
      <c r="B264" s="1" t="s">
        <v>31</v>
      </c>
      <c r="C264" s="1" t="s">
        <v>94</v>
      </c>
      <c r="D264" t="s">
        <v>62</v>
      </c>
      <c r="E264">
        <v>75172</v>
      </c>
      <c r="F264" t="s">
        <v>57</v>
      </c>
      <c r="G264">
        <v>7000</v>
      </c>
      <c r="H264" s="4">
        <v>3</v>
      </c>
      <c r="I264" s="5">
        <f t="shared" si="20"/>
        <v>0.14285714285714285</v>
      </c>
      <c r="J264" s="4">
        <v>3</v>
      </c>
      <c r="K264" s="4">
        <v>0</v>
      </c>
      <c r="L264" s="5">
        <f t="shared" si="21"/>
        <v>0</v>
      </c>
      <c r="M264" s="4">
        <v>0</v>
      </c>
      <c r="N264" s="4">
        <v>5</v>
      </c>
      <c r="O264" s="5">
        <f t="shared" si="22"/>
        <v>0.25</v>
      </c>
      <c r="P264" s="4">
        <v>5</v>
      </c>
      <c r="Q264" s="4">
        <v>0</v>
      </c>
      <c r="R264" s="4">
        <v>0</v>
      </c>
      <c r="S264" s="5">
        <f t="shared" si="23"/>
        <v>0</v>
      </c>
      <c r="T264" s="4">
        <v>1.1463414634146343</v>
      </c>
      <c r="U264" s="4">
        <f t="shared" si="24"/>
        <v>1.3963414634146343</v>
      </c>
    </row>
    <row r="265" spans="1:21" x14ac:dyDescent="0.25">
      <c r="A265" t="s">
        <v>83</v>
      </c>
      <c r="B265" s="1" t="s">
        <v>31</v>
      </c>
      <c r="C265" s="1" t="s">
        <v>94</v>
      </c>
      <c r="D265" t="s">
        <v>62</v>
      </c>
      <c r="E265">
        <v>75173</v>
      </c>
      <c r="F265" t="s">
        <v>57</v>
      </c>
      <c r="G265">
        <v>7000</v>
      </c>
      <c r="H265" s="4">
        <v>2</v>
      </c>
      <c r="I265" s="5">
        <f t="shared" si="20"/>
        <v>9.5238095238095233E-2</v>
      </c>
      <c r="J265" s="4">
        <v>2</v>
      </c>
      <c r="K265" s="4">
        <v>0</v>
      </c>
      <c r="L265" s="5">
        <f t="shared" si="21"/>
        <v>0</v>
      </c>
      <c r="M265" s="4">
        <v>0</v>
      </c>
      <c r="N265" s="4">
        <v>6</v>
      </c>
      <c r="O265" s="5">
        <f t="shared" si="22"/>
        <v>0.3</v>
      </c>
      <c r="P265" s="4">
        <v>6</v>
      </c>
      <c r="Q265" s="4">
        <v>0</v>
      </c>
      <c r="R265" s="4">
        <v>0</v>
      </c>
      <c r="S265" s="5">
        <f t="shared" si="23"/>
        <v>0</v>
      </c>
      <c r="T265" s="4">
        <v>0.26829268292682923</v>
      </c>
      <c r="U265" s="4">
        <f t="shared" si="24"/>
        <v>0.56829268292682922</v>
      </c>
    </row>
    <row r="266" spans="1:21" x14ac:dyDescent="0.25">
      <c r="A266" t="s">
        <v>83</v>
      </c>
      <c r="B266" s="1" t="s">
        <v>31</v>
      </c>
      <c r="C266" s="1" t="s">
        <v>94</v>
      </c>
      <c r="D266" t="s">
        <v>62</v>
      </c>
      <c r="E266">
        <v>75175</v>
      </c>
      <c r="F266" t="s">
        <v>57</v>
      </c>
      <c r="G266">
        <v>7000</v>
      </c>
      <c r="H266" s="4">
        <v>6</v>
      </c>
      <c r="I266" s="5">
        <f t="shared" si="20"/>
        <v>0.2857142857142857</v>
      </c>
      <c r="J266" s="4">
        <v>6</v>
      </c>
      <c r="K266" s="4">
        <v>0</v>
      </c>
      <c r="L266" s="5">
        <f t="shared" si="21"/>
        <v>0</v>
      </c>
      <c r="M266" s="4">
        <v>0</v>
      </c>
      <c r="N266" s="4">
        <v>4</v>
      </c>
      <c r="O266" s="5">
        <f t="shared" si="22"/>
        <v>0.2</v>
      </c>
      <c r="P266" s="4">
        <v>4</v>
      </c>
      <c r="Q266" s="4">
        <v>1</v>
      </c>
      <c r="R266" s="4">
        <v>1</v>
      </c>
      <c r="S266" s="5">
        <f t="shared" si="23"/>
        <v>0.05</v>
      </c>
      <c r="T266" s="4">
        <v>0.73170731707317072</v>
      </c>
      <c r="U266" s="4">
        <f t="shared" si="24"/>
        <v>0.93170731707317067</v>
      </c>
    </row>
    <row r="267" spans="1:21" x14ac:dyDescent="0.25">
      <c r="A267" t="s">
        <v>83</v>
      </c>
      <c r="B267" s="1" t="s">
        <v>31</v>
      </c>
      <c r="C267" s="1" t="s">
        <v>94</v>
      </c>
      <c r="D267" t="s">
        <v>62</v>
      </c>
      <c r="E267">
        <v>75177</v>
      </c>
      <c r="F267" t="s">
        <v>57</v>
      </c>
      <c r="G267">
        <v>7000</v>
      </c>
      <c r="H267" s="4">
        <v>21</v>
      </c>
      <c r="I267" s="5">
        <f t="shared" si="20"/>
        <v>1</v>
      </c>
      <c r="J267" s="4">
        <v>21</v>
      </c>
      <c r="K267" s="4">
        <v>3</v>
      </c>
      <c r="L267" s="5">
        <f t="shared" si="21"/>
        <v>0.14285714285714285</v>
      </c>
      <c r="M267" s="4">
        <v>3</v>
      </c>
      <c r="N267" s="4">
        <v>23</v>
      </c>
      <c r="O267" s="5">
        <f t="shared" si="22"/>
        <v>1.1499999999999999</v>
      </c>
      <c r="P267" s="4">
        <v>24</v>
      </c>
      <c r="Q267" s="4">
        <v>2</v>
      </c>
      <c r="R267" s="4">
        <v>2</v>
      </c>
      <c r="S267" s="5">
        <f t="shared" si="23"/>
        <v>0.1</v>
      </c>
      <c r="T267" s="4">
        <v>1.9756097560975612</v>
      </c>
      <c r="U267" s="4">
        <f t="shared" si="24"/>
        <v>3.1256097560975613</v>
      </c>
    </row>
    <row r="268" spans="1:21" x14ac:dyDescent="0.25">
      <c r="A268" t="s">
        <v>83</v>
      </c>
      <c r="B268" s="1" t="s">
        <v>31</v>
      </c>
      <c r="C268" s="1" t="s">
        <v>94</v>
      </c>
      <c r="D268" t="s">
        <v>62</v>
      </c>
      <c r="E268">
        <v>75179</v>
      </c>
      <c r="F268" t="s">
        <v>57</v>
      </c>
      <c r="G268">
        <v>7000</v>
      </c>
      <c r="H268" s="4">
        <v>30</v>
      </c>
      <c r="I268" s="5">
        <f t="shared" si="20"/>
        <v>1.4285714285714286</v>
      </c>
      <c r="J268" s="4">
        <v>30</v>
      </c>
      <c r="K268" s="4">
        <v>1</v>
      </c>
      <c r="L268" s="5">
        <f t="shared" si="21"/>
        <v>4.7619047619047616E-2</v>
      </c>
      <c r="M268" s="4">
        <v>1</v>
      </c>
      <c r="N268" s="4">
        <v>19</v>
      </c>
      <c r="O268" s="5">
        <f t="shared" si="22"/>
        <v>0.95</v>
      </c>
      <c r="P268" s="4">
        <v>19</v>
      </c>
      <c r="Q268" s="4">
        <v>4</v>
      </c>
      <c r="R268" s="4">
        <v>6</v>
      </c>
      <c r="S268" s="5">
        <f t="shared" si="23"/>
        <v>0.2</v>
      </c>
      <c r="T268" s="4">
        <v>2.8536585365853657</v>
      </c>
      <c r="U268" s="4">
        <f t="shared" si="24"/>
        <v>3.8036585365853659</v>
      </c>
    </row>
    <row r="269" spans="1:21" x14ac:dyDescent="0.25">
      <c r="A269" t="s">
        <v>83</v>
      </c>
      <c r="B269" s="1" t="s">
        <v>31</v>
      </c>
      <c r="C269" s="1" t="s">
        <v>94</v>
      </c>
      <c r="D269" t="s">
        <v>62</v>
      </c>
      <c r="E269">
        <v>75180</v>
      </c>
      <c r="F269" t="s">
        <v>57</v>
      </c>
      <c r="G269">
        <v>7000</v>
      </c>
      <c r="H269" s="4">
        <v>2</v>
      </c>
      <c r="I269" s="5">
        <f t="shared" si="20"/>
        <v>9.5238095238095233E-2</v>
      </c>
      <c r="J269" s="4">
        <v>2</v>
      </c>
      <c r="K269" s="4">
        <v>0</v>
      </c>
      <c r="L269" s="5">
        <f t="shared" si="21"/>
        <v>0</v>
      </c>
      <c r="M269" s="4">
        <v>0</v>
      </c>
      <c r="N269" s="4">
        <v>3</v>
      </c>
      <c r="O269" s="5">
        <f t="shared" si="22"/>
        <v>0.15</v>
      </c>
      <c r="P269" s="4">
        <v>3</v>
      </c>
      <c r="Q269" s="4">
        <v>0</v>
      </c>
      <c r="R269" s="4">
        <v>0</v>
      </c>
      <c r="S269" s="5">
        <f t="shared" si="23"/>
        <v>0</v>
      </c>
      <c r="T269" s="4">
        <v>0.17073170731707318</v>
      </c>
      <c r="U269" s="4">
        <f t="shared" si="24"/>
        <v>0.32073170731707318</v>
      </c>
    </row>
    <row r="270" spans="1:21" x14ac:dyDescent="0.25">
      <c r="A270" t="s">
        <v>83</v>
      </c>
      <c r="B270" s="1" t="s">
        <v>31</v>
      </c>
      <c r="C270" s="1" t="s">
        <v>94</v>
      </c>
      <c r="D270" t="s">
        <v>62</v>
      </c>
      <c r="E270">
        <v>75181</v>
      </c>
      <c r="F270" t="s">
        <v>57</v>
      </c>
      <c r="G270">
        <v>7000</v>
      </c>
      <c r="H270" s="4">
        <v>11</v>
      </c>
      <c r="I270" s="5">
        <f t="shared" si="20"/>
        <v>0.52380952380952384</v>
      </c>
      <c r="J270" s="4">
        <v>11</v>
      </c>
      <c r="K270" s="4">
        <v>2</v>
      </c>
      <c r="L270" s="5">
        <f t="shared" si="21"/>
        <v>9.5238095238095233E-2</v>
      </c>
      <c r="M270" s="4">
        <v>2</v>
      </c>
      <c r="N270" s="4">
        <v>14</v>
      </c>
      <c r="O270" s="5">
        <f t="shared" si="22"/>
        <v>0.7</v>
      </c>
      <c r="P270" s="4">
        <v>14</v>
      </c>
      <c r="Q270" s="4">
        <v>2</v>
      </c>
      <c r="R270" s="4">
        <v>2</v>
      </c>
      <c r="S270" s="5">
        <f t="shared" si="23"/>
        <v>0.1</v>
      </c>
      <c r="T270" s="4">
        <v>0.97560975609756095</v>
      </c>
      <c r="U270" s="4">
        <f t="shared" si="24"/>
        <v>1.6756097560975609</v>
      </c>
    </row>
    <row r="271" spans="1:21" x14ac:dyDescent="0.25">
      <c r="A271" t="s">
        <v>83</v>
      </c>
      <c r="B271" s="1" t="s">
        <v>31</v>
      </c>
      <c r="C271" s="1" t="s">
        <v>94</v>
      </c>
      <c r="D271" t="s">
        <v>62</v>
      </c>
      <c r="E271">
        <v>75217</v>
      </c>
      <c r="F271" t="s">
        <v>57</v>
      </c>
      <c r="G271">
        <v>7000</v>
      </c>
      <c r="H271" s="4">
        <v>17</v>
      </c>
      <c r="I271" s="5">
        <f t="shared" si="20"/>
        <v>0.80952380952380953</v>
      </c>
      <c r="J271" s="4">
        <v>17</v>
      </c>
      <c r="K271" s="4">
        <v>1</v>
      </c>
      <c r="L271" s="5">
        <f t="shared" si="21"/>
        <v>4.7619047619047616E-2</v>
      </c>
      <c r="M271" s="4">
        <v>1</v>
      </c>
      <c r="N271" s="4">
        <v>15</v>
      </c>
      <c r="O271" s="5">
        <f t="shared" si="22"/>
        <v>0.75</v>
      </c>
      <c r="P271" s="4">
        <v>15</v>
      </c>
      <c r="Q271" s="4">
        <v>0</v>
      </c>
      <c r="R271" s="4">
        <v>0</v>
      </c>
      <c r="S271" s="5">
        <f t="shared" si="23"/>
        <v>0</v>
      </c>
      <c r="T271" s="4">
        <v>1.3902439024390245</v>
      </c>
      <c r="U271" s="4">
        <f t="shared" si="24"/>
        <v>2.1402439024390247</v>
      </c>
    </row>
    <row r="272" spans="1:21" x14ac:dyDescent="0.25">
      <c r="A272" t="s">
        <v>83</v>
      </c>
      <c r="B272" s="1" t="s">
        <v>31</v>
      </c>
      <c r="C272" s="1" t="s">
        <v>94</v>
      </c>
      <c r="D272" t="s">
        <v>62</v>
      </c>
      <c r="E272">
        <v>75223</v>
      </c>
      <c r="F272" t="s">
        <v>57</v>
      </c>
      <c r="G272">
        <v>7000</v>
      </c>
      <c r="H272" s="4">
        <v>12</v>
      </c>
      <c r="I272" s="5">
        <f t="shared" si="20"/>
        <v>0.5714285714285714</v>
      </c>
      <c r="J272" s="4">
        <v>12</v>
      </c>
      <c r="K272" s="4">
        <v>2</v>
      </c>
      <c r="L272" s="5">
        <f t="shared" si="21"/>
        <v>9.5238095238095233E-2</v>
      </c>
      <c r="M272" s="4">
        <v>2</v>
      </c>
      <c r="N272" s="4">
        <v>0</v>
      </c>
      <c r="O272" s="5">
        <f t="shared" si="22"/>
        <v>0</v>
      </c>
      <c r="P272" s="4">
        <v>0</v>
      </c>
      <c r="Q272" s="4">
        <v>1</v>
      </c>
      <c r="R272" s="4">
        <v>1</v>
      </c>
      <c r="S272" s="5">
        <f t="shared" si="23"/>
        <v>0.05</v>
      </c>
      <c r="T272" s="4">
        <v>0.51219512195121952</v>
      </c>
      <c r="U272" s="4">
        <f t="shared" si="24"/>
        <v>0.51219512195121952</v>
      </c>
    </row>
    <row r="273" spans="1:21" x14ac:dyDescent="0.25">
      <c r="A273" t="s">
        <v>83</v>
      </c>
      <c r="B273" s="1" t="s">
        <v>31</v>
      </c>
      <c r="C273" s="1" t="s">
        <v>94</v>
      </c>
      <c r="D273" t="s">
        <v>62</v>
      </c>
      <c r="E273">
        <v>75228</v>
      </c>
      <c r="F273" t="s">
        <v>57</v>
      </c>
      <c r="G273">
        <v>7000</v>
      </c>
      <c r="H273" s="4">
        <v>14</v>
      </c>
      <c r="I273" s="5">
        <f t="shared" si="20"/>
        <v>0.66666666666666663</v>
      </c>
      <c r="J273" s="4">
        <v>18</v>
      </c>
      <c r="K273" s="4">
        <v>2</v>
      </c>
      <c r="L273" s="5">
        <f t="shared" si="21"/>
        <v>9.5238095238095233E-2</v>
      </c>
      <c r="M273" s="4">
        <v>2</v>
      </c>
      <c r="N273" s="4">
        <v>11</v>
      </c>
      <c r="O273" s="5">
        <f t="shared" si="22"/>
        <v>0.55000000000000004</v>
      </c>
      <c r="P273" s="4">
        <v>11</v>
      </c>
      <c r="Q273" s="4">
        <v>0</v>
      </c>
      <c r="R273" s="4">
        <v>0</v>
      </c>
      <c r="S273" s="5">
        <f t="shared" si="23"/>
        <v>0</v>
      </c>
      <c r="T273" s="4">
        <v>0.17073170731707316</v>
      </c>
      <c r="U273" s="4">
        <f t="shared" si="24"/>
        <v>0.72073170731707314</v>
      </c>
    </row>
    <row r="274" spans="1:21" x14ac:dyDescent="0.25">
      <c r="A274" t="s">
        <v>61</v>
      </c>
      <c r="B274" s="1" t="s">
        <v>23</v>
      </c>
      <c r="C274" s="1" t="s">
        <v>94</v>
      </c>
      <c r="D274" t="s">
        <v>62</v>
      </c>
      <c r="E274">
        <v>75233</v>
      </c>
      <c r="F274" t="s">
        <v>57</v>
      </c>
      <c r="G274">
        <v>7000</v>
      </c>
      <c r="H274" s="4">
        <v>0</v>
      </c>
      <c r="I274" s="5">
        <f t="shared" si="20"/>
        <v>0</v>
      </c>
      <c r="J274" s="4">
        <v>0</v>
      </c>
      <c r="K274" s="4">
        <v>1</v>
      </c>
      <c r="L274" s="5">
        <f t="shared" si="21"/>
        <v>4.7619047619047616E-2</v>
      </c>
      <c r="M274" s="4">
        <v>1</v>
      </c>
      <c r="N274" s="4">
        <v>2</v>
      </c>
      <c r="O274" s="5">
        <f t="shared" si="22"/>
        <v>0.1</v>
      </c>
      <c r="P274" s="4">
        <v>2</v>
      </c>
      <c r="Q274" s="4">
        <v>0</v>
      </c>
      <c r="R274" s="4">
        <v>0</v>
      </c>
      <c r="S274" s="5">
        <f t="shared" si="23"/>
        <v>0</v>
      </c>
      <c r="T274" s="4">
        <v>0.21951219512195122</v>
      </c>
      <c r="U274" s="4">
        <f t="shared" si="24"/>
        <v>0.31951219512195123</v>
      </c>
    </row>
    <row r="275" spans="1:21" x14ac:dyDescent="0.25">
      <c r="A275" t="s">
        <v>83</v>
      </c>
      <c r="B275" s="1" t="s">
        <v>31</v>
      </c>
      <c r="C275" s="1" t="s">
        <v>94</v>
      </c>
      <c r="D275" t="s">
        <v>62</v>
      </c>
      <c r="E275">
        <v>75239</v>
      </c>
      <c r="F275" t="s">
        <v>57</v>
      </c>
      <c r="G275">
        <v>7000</v>
      </c>
      <c r="H275" s="4">
        <v>1</v>
      </c>
      <c r="I275" s="5">
        <f t="shared" si="20"/>
        <v>4.7619047619047616E-2</v>
      </c>
      <c r="J275" s="4">
        <v>1</v>
      </c>
      <c r="K275" s="4">
        <v>0</v>
      </c>
      <c r="L275" s="5">
        <f t="shared" si="21"/>
        <v>0</v>
      </c>
      <c r="M275" s="4">
        <v>0</v>
      </c>
      <c r="N275" s="4">
        <v>2</v>
      </c>
      <c r="O275" s="5">
        <f t="shared" si="22"/>
        <v>0.1</v>
      </c>
      <c r="P275" s="4">
        <v>2</v>
      </c>
      <c r="Q275" s="4">
        <v>0</v>
      </c>
      <c r="R275" s="4">
        <v>0</v>
      </c>
      <c r="S275" s="5">
        <f t="shared" si="23"/>
        <v>0</v>
      </c>
      <c r="T275" s="4">
        <v>0.14634146341463417</v>
      </c>
      <c r="U275" s="4">
        <f t="shared" si="24"/>
        <v>0.24634146341463417</v>
      </c>
    </row>
    <row r="276" spans="1:21" x14ac:dyDescent="0.25">
      <c r="A276" t="s">
        <v>83</v>
      </c>
      <c r="B276" s="1" t="s">
        <v>31</v>
      </c>
      <c r="C276" s="1" t="s">
        <v>94</v>
      </c>
      <c r="D276" t="s">
        <v>62</v>
      </c>
      <c r="E276">
        <v>75242</v>
      </c>
      <c r="F276" t="s">
        <v>57</v>
      </c>
      <c r="G276">
        <v>7000</v>
      </c>
      <c r="H276" s="4">
        <v>2</v>
      </c>
      <c r="I276" s="5">
        <f t="shared" si="20"/>
        <v>9.5238095238095233E-2</v>
      </c>
      <c r="J276" s="4">
        <v>2</v>
      </c>
      <c r="K276" s="4">
        <v>4</v>
      </c>
      <c r="L276" s="5">
        <f t="shared" si="21"/>
        <v>0.19047619047619047</v>
      </c>
      <c r="M276" s="4">
        <v>5</v>
      </c>
      <c r="N276" s="4">
        <v>3</v>
      </c>
      <c r="O276" s="5">
        <f t="shared" si="22"/>
        <v>0.15</v>
      </c>
      <c r="P276" s="4">
        <v>3</v>
      </c>
      <c r="Q276" s="4">
        <v>5</v>
      </c>
      <c r="R276" s="4">
        <v>5</v>
      </c>
      <c r="S276" s="5">
        <f t="shared" si="23"/>
        <v>0.25</v>
      </c>
      <c r="T276" s="4">
        <v>0.17073170731707316</v>
      </c>
      <c r="U276" s="4">
        <f t="shared" si="24"/>
        <v>0.32073170731707312</v>
      </c>
    </row>
    <row r="277" spans="1:21" x14ac:dyDescent="0.25">
      <c r="A277" t="s">
        <v>83</v>
      </c>
      <c r="B277" s="1" t="s">
        <v>31</v>
      </c>
      <c r="C277" s="1" t="s">
        <v>94</v>
      </c>
      <c r="D277" t="s">
        <v>62</v>
      </c>
      <c r="E277">
        <v>75245</v>
      </c>
      <c r="F277" t="s">
        <v>57</v>
      </c>
      <c r="G277">
        <v>7000</v>
      </c>
      <c r="H277" s="4">
        <v>2</v>
      </c>
      <c r="I277" s="5">
        <f t="shared" si="20"/>
        <v>9.5238095238095233E-2</v>
      </c>
      <c r="J277" s="4">
        <v>2</v>
      </c>
      <c r="K277" s="4">
        <v>3</v>
      </c>
      <c r="L277" s="5">
        <f t="shared" si="21"/>
        <v>0.14285714285714285</v>
      </c>
      <c r="M277" s="4">
        <v>3</v>
      </c>
      <c r="N277" s="4">
        <v>3</v>
      </c>
      <c r="O277" s="5">
        <f t="shared" si="22"/>
        <v>0.15</v>
      </c>
      <c r="P277" s="4">
        <v>3</v>
      </c>
      <c r="Q277" s="4">
        <v>4</v>
      </c>
      <c r="R277" s="4">
        <v>4</v>
      </c>
      <c r="S277" s="5">
        <f t="shared" si="23"/>
        <v>0.2</v>
      </c>
      <c r="T277" s="4">
        <v>0.34146341463414642</v>
      </c>
      <c r="U277" s="4">
        <f t="shared" si="24"/>
        <v>0.49146341463414644</v>
      </c>
    </row>
    <row r="278" spans="1:21" x14ac:dyDescent="0.25">
      <c r="A278" t="s">
        <v>71</v>
      </c>
      <c r="B278" s="1" t="s">
        <v>22</v>
      </c>
      <c r="C278" s="1" t="s">
        <v>94</v>
      </c>
      <c r="D278" t="s">
        <v>72</v>
      </c>
      <c r="E278">
        <v>75248</v>
      </c>
      <c r="F278" t="s">
        <v>57</v>
      </c>
      <c r="G278">
        <v>7000</v>
      </c>
      <c r="H278" s="4">
        <v>5</v>
      </c>
      <c r="I278" s="5">
        <f t="shared" si="20"/>
        <v>0.23809523809523808</v>
      </c>
      <c r="J278" s="4">
        <v>5</v>
      </c>
      <c r="K278" s="4">
        <v>0</v>
      </c>
      <c r="L278" s="5">
        <f t="shared" si="21"/>
        <v>0</v>
      </c>
      <c r="M278" s="4">
        <v>0</v>
      </c>
      <c r="N278" s="4">
        <v>3</v>
      </c>
      <c r="O278" s="5">
        <f t="shared" si="22"/>
        <v>0.15</v>
      </c>
      <c r="P278" s="4">
        <v>3</v>
      </c>
      <c r="Q278" s="4">
        <v>1</v>
      </c>
      <c r="R278" s="4">
        <v>1</v>
      </c>
      <c r="S278" s="5">
        <f t="shared" si="23"/>
        <v>0.05</v>
      </c>
      <c r="T278" s="4">
        <v>0.14634146341463417</v>
      </c>
      <c r="U278" s="4">
        <f t="shared" si="24"/>
        <v>0.29634146341463419</v>
      </c>
    </row>
    <row r="279" spans="1:21" x14ac:dyDescent="0.25">
      <c r="A279" t="s">
        <v>83</v>
      </c>
      <c r="B279" s="1" t="s">
        <v>31</v>
      </c>
      <c r="C279" s="1" t="s">
        <v>94</v>
      </c>
      <c r="D279" t="s">
        <v>62</v>
      </c>
      <c r="E279">
        <v>75249</v>
      </c>
      <c r="F279" t="s">
        <v>57</v>
      </c>
      <c r="G279">
        <v>7000</v>
      </c>
      <c r="H279" s="4">
        <v>2</v>
      </c>
      <c r="I279" s="5">
        <f t="shared" si="20"/>
        <v>9.5238095238095233E-2</v>
      </c>
      <c r="J279" s="4">
        <v>2</v>
      </c>
      <c r="K279" s="4">
        <v>2</v>
      </c>
      <c r="L279" s="5">
        <f t="shared" si="21"/>
        <v>9.5238095238095233E-2</v>
      </c>
      <c r="M279" s="4">
        <v>2</v>
      </c>
      <c r="N279" s="4">
        <v>2</v>
      </c>
      <c r="O279" s="5">
        <f t="shared" si="22"/>
        <v>0.1</v>
      </c>
      <c r="P279" s="4">
        <v>2</v>
      </c>
      <c r="Q279" s="4">
        <v>3</v>
      </c>
      <c r="R279" s="4">
        <v>3</v>
      </c>
      <c r="S279" s="5">
        <f t="shared" si="23"/>
        <v>0.15</v>
      </c>
      <c r="T279" s="4">
        <v>0.12195121951219513</v>
      </c>
      <c r="U279" s="4">
        <f t="shared" si="24"/>
        <v>0.22195121951219515</v>
      </c>
    </row>
    <row r="280" spans="1:21" x14ac:dyDescent="0.25">
      <c r="A280" t="s">
        <v>83</v>
      </c>
      <c r="B280" s="1" t="s">
        <v>31</v>
      </c>
      <c r="C280" s="1" t="s">
        <v>94</v>
      </c>
      <c r="D280" t="s">
        <v>62</v>
      </c>
      <c r="E280">
        <v>75305</v>
      </c>
      <c r="F280" t="s">
        <v>57</v>
      </c>
      <c r="G280">
        <v>7000</v>
      </c>
      <c r="H280" s="4">
        <v>2</v>
      </c>
      <c r="I280" s="5">
        <f t="shared" si="20"/>
        <v>9.5238095238095233E-2</v>
      </c>
      <c r="J280" s="4">
        <v>2</v>
      </c>
      <c r="K280" s="4">
        <v>16</v>
      </c>
      <c r="L280" s="5">
        <f t="shared" si="21"/>
        <v>0.76190476190476186</v>
      </c>
      <c r="M280" s="4">
        <v>17</v>
      </c>
      <c r="N280" s="4">
        <v>4</v>
      </c>
      <c r="O280" s="5">
        <f t="shared" si="22"/>
        <v>0.2</v>
      </c>
      <c r="P280" s="4">
        <v>4</v>
      </c>
      <c r="Q280" s="4">
        <v>9</v>
      </c>
      <c r="R280" s="4">
        <v>12</v>
      </c>
      <c r="S280" s="5">
        <f t="shared" si="23"/>
        <v>0.45</v>
      </c>
      <c r="T280" s="4">
        <v>0.48780487804878048</v>
      </c>
      <c r="U280" s="4">
        <f t="shared" si="24"/>
        <v>0.68780487804878043</v>
      </c>
    </row>
    <row r="281" spans="1:21" x14ac:dyDescent="0.25">
      <c r="A281" t="s">
        <v>61</v>
      </c>
      <c r="B281" s="1" t="s">
        <v>27</v>
      </c>
      <c r="C281" s="1" t="s">
        <v>94</v>
      </c>
      <c r="D281" t="s">
        <v>62</v>
      </c>
      <c r="E281">
        <v>75328</v>
      </c>
      <c r="F281" t="s">
        <v>57</v>
      </c>
      <c r="G281">
        <v>7000</v>
      </c>
      <c r="H281" s="4">
        <v>1</v>
      </c>
      <c r="I281" s="5">
        <f t="shared" si="20"/>
        <v>4.7619047619047616E-2</v>
      </c>
      <c r="J281" s="4">
        <v>1</v>
      </c>
      <c r="K281" s="4">
        <v>0</v>
      </c>
      <c r="L281" s="5">
        <f t="shared" si="21"/>
        <v>0</v>
      </c>
      <c r="M281" s="4">
        <v>0</v>
      </c>
      <c r="N281" s="4">
        <v>1</v>
      </c>
      <c r="O281" s="5">
        <f t="shared" si="22"/>
        <v>0.05</v>
      </c>
      <c r="P281" s="4">
        <v>1</v>
      </c>
      <c r="Q281" s="4">
        <v>1</v>
      </c>
      <c r="R281" s="4">
        <v>1</v>
      </c>
      <c r="S281" s="5">
        <f t="shared" si="23"/>
        <v>0.05</v>
      </c>
      <c r="T281" s="4">
        <v>0.17073170731707318</v>
      </c>
      <c r="U281" s="4">
        <f t="shared" si="24"/>
        <v>0.2207317073170732</v>
      </c>
    </row>
    <row r="282" spans="1:21" x14ac:dyDescent="0.25">
      <c r="A282" t="s">
        <v>83</v>
      </c>
      <c r="B282" s="1" t="s">
        <v>31</v>
      </c>
      <c r="C282" s="1" t="s">
        <v>94</v>
      </c>
      <c r="D282" t="s">
        <v>62</v>
      </c>
      <c r="E282">
        <v>75331</v>
      </c>
      <c r="F282" t="s">
        <v>57</v>
      </c>
      <c r="G282">
        <v>7000</v>
      </c>
      <c r="H282" s="4">
        <v>0</v>
      </c>
      <c r="I282" s="5">
        <f t="shared" si="20"/>
        <v>0</v>
      </c>
      <c r="J282" s="4">
        <v>0</v>
      </c>
      <c r="K282" s="4">
        <v>2</v>
      </c>
      <c r="L282" s="5">
        <f t="shared" si="21"/>
        <v>9.5238095238095233E-2</v>
      </c>
      <c r="M282" s="4">
        <v>2</v>
      </c>
      <c r="N282" s="4">
        <v>4</v>
      </c>
      <c r="O282" s="5">
        <f t="shared" si="22"/>
        <v>0.2</v>
      </c>
      <c r="P282" s="4">
        <v>4</v>
      </c>
      <c r="Q282" s="4">
        <v>3</v>
      </c>
      <c r="R282" s="4">
        <v>4</v>
      </c>
      <c r="S282" s="5">
        <f t="shared" si="23"/>
        <v>0.15</v>
      </c>
      <c r="T282" s="4">
        <v>0.34146341463414631</v>
      </c>
      <c r="U282" s="4">
        <f t="shared" si="24"/>
        <v>0.54146341463414638</v>
      </c>
    </row>
    <row r="283" spans="1:21" x14ac:dyDescent="0.25">
      <c r="A283" t="s">
        <v>61</v>
      </c>
      <c r="B283" s="1" t="s">
        <v>27</v>
      </c>
      <c r="C283" s="1" t="s">
        <v>94</v>
      </c>
      <c r="D283" t="s">
        <v>62</v>
      </c>
      <c r="E283">
        <v>75365</v>
      </c>
      <c r="F283" t="s">
        <v>57</v>
      </c>
      <c r="G283">
        <v>7000</v>
      </c>
      <c r="H283" s="4">
        <v>22</v>
      </c>
      <c r="I283" s="5">
        <f t="shared" si="20"/>
        <v>1.0476190476190477</v>
      </c>
      <c r="J283" s="4">
        <v>23</v>
      </c>
      <c r="K283" s="4">
        <v>11</v>
      </c>
      <c r="L283" s="5">
        <f t="shared" si="21"/>
        <v>0.52380952380952384</v>
      </c>
      <c r="M283" s="4">
        <v>14</v>
      </c>
      <c r="N283" s="4">
        <v>23</v>
      </c>
      <c r="O283" s="5">
        <f t="shared" si="22"/>
        <v>1.1499999999999999</v>
      </c>
      <c r="P283" s="4">
        <v>26</v>
      </c>
      <c r="Q283" s="4">
        <v>7</v>
      </c>
      <c r="R283" s="4">
        <v>10</v>
      </c>
      <c r="S283" s="5">
        <f t="shared" si="23"/>
        <v>0.35</v>
      </c>
      <c r="T283" s="4">
        <v>3.3414634146341466</v>
      </c>
      <c r="U283" s="4">
        <f t="shared" si="24"/>
        <v>4.491463414634147</v>
      </c>
    </row>
    <row r="284" spans="1:21" x14ac:dyDescent="0.25">
      <c r="A284" t="s">
        <v>61</v>
      </c>
      <c r="B284" s="1" t="s">
        <v>27</v>
      </c>
      <c r="C284" s="1" t="s">
        <v>94</v>
      </c>
      <c r="D284" t="s">
        <v>62</v>
      </c>
      <c r="E284">
        <v>75378</v>
      </c>
      <c r="F284" t="s">
        <v>57</v>
      </c>
      <c r="G284">
        <v>7000</v>
      </c>
      <c r="H284" s="4">
        <v>1</v>
      </c>
      <c r="I284" s="5">
        <f t="shared" si="20"/>
        <v>4.7619047619047616E-2</v>
      </c>
      <c r="J284" s="4">
        <v>1</v>
      </c>
      <c r="K284" s="4">
        <v>0</v>
      </c>
      <c r="L284" s="5">
        <f t="shared" si="21"/>
        <v>0</v>
      </c>
      <c r="M284" s="4">
        <v>0</v>
      </c>
      <c r="N284" s="4">
        <v>4</v>
      </c>
      <c r="O284" s="5">
        <f t="shared" si="22"/>
        <v>0.2</v>
      </c>
      <c r="P284" s="4">
        <v>4</v>
      </c>
      <c r="Q284" s="4">
        <v>0</v>
      </c>
      <c r="R284" s="4">
        <v>0</v>
      </c>
      <c r="S284" s="5">
        <f t="shared" si="23"/>
        <v>0</v>
      </c>
      <c r="T284" s="4">
        <v>0.4390243902439025</v>
      </c>
      <c r="U284" s="4">
        <f t="shared" si="24"/>
        <v>0.63902439024390256</v>
      </c>
    </row>
    <row r="285" spans="1:21" x14ac:dyDescent="0.25">
      <c r="A285" t="s">
        <v>61</v>
      </c>
      <c r="B285" s="1" t="s">
        <v>21</v>
      </c>
      <c r="C285" s="1" t="s">
        <v>94</v>
      </c>
      <c r="D285" t="s">
        <v>62</v>
      </c>
      <c r="E285">
        <v>75382</v>
      </c>
      <c r="F285" t="s">
        <v>57</v>
      </c>
      <c r="G285">
        <v>7000</v>
      </c>
      <c r="H285" s="4">
        <v>6</v>
      </c>
      <c r="I285" s="5">
        <f t="shared" si="20"/>
        <v>0.2857142857142857</v>
      </c>
      <c r="J285" s="4">
        <v>6</v>
      </c>
      <c r="K285" s="4">
        <v>9</v>
      </c>
      <c r="L285" s="5">
        <f t="shared" si="21"/>
        <v>0.42857142857142855</v>
      </c>
      <c r="M285" s="4">
        <v>9</v>
      </c>
      <c r="N285" s="4">
        <v>10</v>
      </c>
      <c r="O285" s="5">
        <f t="shared" si="22"/>
        <v>0.5</v>
      </c>
      <c r="P285" s="4">
        <v>10</v>
      </c>
      <c r="Q285" s="4">
        <v>6</v>
      </c>
      <c r="R285" s="4">
        <v>6</v>
      </c>
      <c r="S285" s="5">
        <f t="shared" si="23"/>
        <v>0.3</v>
      </c>
      <c r="T285" s="4">
        <v>2.1219512195121952</v>
      </c>
      <c r="U285" s="4">
        <f t="shared" si="24"/>
        <v>2.6219512195121952</v>
      </c>
    </row>
    <row r="286" spans="1:21" x14ac:dyDescent="0.25">
      <c r="A286" t="s">
        <v>61</v>
      </c>
      <c r="B286" s="1" t="s">
        <v>27</v>
      </c>
      <c r="C286" s="1" t="s">
        <v>94</v>
      </c>
      <c r="D286" t="s">
        <v>62</v>
      </c>
      <c r="E286">
        <v>75385</v>
      </c>
      <c r="F286" t="s">
        <v>57</v>
      </c>
      <c r="G286">
        <v>7000</v>
      </c>
      <c r="H286" s="4">
        <v>2</v>
      </c>
      <c r="I286" s="5">
        <f t="shared" si="20"/>
        <v>9.5238095238095233E-2</v>
      </c>
      <c r="J286" s="4">
        <v>2</v>
      </c>
      <c r="K286" s="4">
        <v>0</v>
      </c>
      <c r="L286" s="5">
        <f t="shared" si="21"/>
        <v>0</v>
      </c>
      <c r="M286" s="4">
        <v>0</v>
      </c>
      <c r="N286" s="4">
        <v>2</v>
      </c>
      <c r="O286" s="5">
        <f t="shared" si="22"/>
        <v>0.1</v>
      </c>
      <c r="P286" s="4">
        <v>2</v>
      </c>
      <c r="Q286" s="4">
        <v>0</v>
      </c>
      <c r="R286" s="4">
        <v>0</v>
      </c>
      <c r="S286" s="5">
        <f t="shared" si="23"/>
        <v>0</v>
      </c>
      <c r="T286" s="4">
        <v>0.17073170731707318</v>
      </c>
      <c r="U286" s="4">
        <f t="shared" si="24"/>
        <v>0.27073170731707319</v>
      </c>
    </row>
    <row r="287" spans="1:21" x14ac:dyDescent="0.25">
      <c r="A287" t="s">
        <v>61</v>
      </c>
      <c r="B287" s="1" t="s">
        <v>27</v>
      </c>
      <c r="C287" s="1" t="s">
        <v>94</v>
      </c>
      <c r="D287" t="s">
        <v>62</v>
      </c>
      <c r="E287">
        <v>75387</v>
      </c>
      <c r="F287" t="s">
        <v>57</v>
      </c>
      <c r="G287">
        <v>7000</v>
      </c>
      <c r="H287" s="4">
        <v>3</v>
      </c>
      <c r="I287" s="5">
        <f t="shared" si="20"/>
        <v>0.14285714285714285</v>
      </c>
      <c r="J287" s="4">
        <v>3</v>
      </c>
      <c r="K287" s="4">
        <v>5</v>
      </c>
      <c r="L287" s="5">
        <f t="shared" si="21"/>
        <v>0.23809523809523808</v>
      </c>
      <c r="M287" s="4">
        <v>5</v>
      </c>
      <c r="N287" s="4">
        <v>5</v>
      </c>
      <c r="O287" s="5">
        <f t="shared" si="22"/>
        <v>0.25</v>
      </c>
      <c r="P287" s="4">
        <v>5</v>
      </c>
      <c r="Q287" s="4">
        <v>2</v>
      </c>
      <c r="R287" s="4">
        <v>2</v>
      </c>
      <c r="S287" s="5">
        <f t="shared" si="23"/>
        <v>0.1</v>
      </c>
      <c r="T287" s="4">
        <v>0.34146341463414642</v>
      </c>
      <c r="U287" s="4">
        <f t="shared" si="24"/>
        <v>0.59146341463414642</v>
      </c>
    </row>
    <row r="288" spans="1:21" x14ac:dyDescent="0.25">
      <c r="A288" t="s">
        <v>61</v>
      </c>
      <c r="B288" s="1" t="s">
        <v>27</v>
      </c>
      <c r="C288" s="1" t="s">
        <v>94</v>
      </c>
      <c r="D288" t="s">
        <v>62</v>
      </c>
      <c r="E288">
        <v>75389</v>
      </c>
      <c r="F288" t="s">
        <v>57</v>
      </c>
      <c r="G288">
        <v>7000</v>
      </c>
      <c r="H288" s="4">
        <v>3</v>
      </c>
      <c r="I288" s="5">
        <f t="shared" si="20"/>
        <v>0.14285714285714285</v>
      </c>
      <c r="J288" s="4">
        <v>3</v>
      </c>
      <c r="K288" s="4">
        <v>0</v>
      </c>
      <c r="L288" s="5">
        <f t="shared" si="21"/>
        <v>0</v>
      </c>
      <c r="M288" s="4">
        <v>0</v>
      </c>
      <c r="N288" s="4">
        <v>2</v>
      </c>
      <c r="O288" s="5">
        <f t="shared" si="22"/>
        <v>0.1</v>
      </c>
      <c r="P288" s="4">
        <v>2</v>
      </c>
      <c r="Q288" s="4">
        <v>0</v>
      </c>
      <c r="R288" s="4">
        <v>0</v>
      </c>
      <c r="S288" s="5">
        <f t="shared" si="23"/>
        <v>0</v>
      </c>
      <c r="T288" s="4">
        <v>0.41463414634146339</v>
      </c>
      <c r="U288" s="4">
        <f t="shared" si="24"/>
        <v>0.51463414634146343</v>
      </c>
    </row>
    <row r="289" spans="1:21" x14ac:dyDescent="0.25">
      <c r="A289" t="s">
        <v>61</v>
      </c>
      <c r="B289" s="1" t="s">
        <v>21</v>
      </c>
      <c r="C289" s="1" t="s">
        <v>94</v>
      </c>
      <c r="D289" t="s">
        <v>62</v>
      </c>
      <c r="E289">
        <v>75391</v>
      </c>
      <c r="F289" t="s">
        <v>57</v>
      </c>
      <c r="G289">
        <v>7000</v>
      </c>
      <c r="H289" s="4">
        <v>5</v>
      </c>
      <c r="I289" s="5">
        <f t="shared" si="20"/>
        <v>0.23809523809523808</v>
      </c>
      <c r="J289" s="4">
        <v>5</v>
      </c>
      <c r="K289" s="4">
        <v>1</v>
      </c>
      <c r="L289" s="5">
        <f t="shared" si="21"/>
        <v>4.7619047619047616E-2</v>
      </c>
      <c r="M289" s="4">
        <v>1</v>
      </c>
      <c r="N289" s="4">
        <v>3</v>
      </c>
      <c r="O289" s="5">
        <f t="shared" si="22"/>
        <v>0.15</v>
      </c>
      <c r="P289" s="4">
        <v>3</v>
      </c>
      <c r="Q289" s="4">
        <v>0</v>
      </c>
      <c r="R289" s="4">
        <v>0</v>
      </c>
      <c r="S289" s="5">
        <f t="shared" si="23"/>
        <v>0</v>
      </c>
      <c r="T289" s="4">
        <v>0.26829268292682928</v>
      </c>
      <c r="U289" s="4">
        <f t="shared" si="24"/>
        <v>0.41829268292682931</v>
      </c>
    </row>
    <row r="290" spans="1:21" x14ac:dyDescent="0.25">
      <c r="A290" t="s">
        <v>68</v>
      </c>
      <c r="B290" s="1" t="s">
        <v>16</v>
      </c>
      <c r="C290" s="1" t="s">
        <v>94</v>
      </c>
      <c r="D290" t="s">
        <v>69</v>
      </c>
      <c r="E290">
        <v>75392</v>
      </c>
      <c r="F290" t="s">
        <v>57</v>
      </c>
      <c r="G290">
        <v>7000</v>
      </c>
      <c r="H290" s="4">
        <v>6</v>
      </c>
      <c r="I290" s="5">
        <f t="shared" si="20"/>
        <v>0.2857142857142857</v>
      </c>
      <c r="J290" s="4">
        <v>7</v>
      </c>
      <c r="K290" s="4">
        <v>1</v>
      </c>
      <c r="L290" s="5">
        <f t="shared" si="21"/>
        <v>4.7619047619047616E-2</v>
      </c>
      <c r="M290" s="4">
        <v>1</v>
      </c>
      <c r="N290" s="4">
        <v>4</v>
      </c>
      <c r="O290" s="5">
        <f t="shared" si="22"/>
        <v>0.2</v>
      </c>
      <c r="P290" s="4">
        <v>4</v>
      </c>
      <c r="Q290" s="4">
        <v>0</v>
      </c>
      <c r="R290" s="4">
        <v>0</v>
      </c>
      <c r="S290" s="5">
        <f t="shared" si="23"/>
        <v>0</v>
      </c>
      <c r="T290" s="4">
        <v>0.17073170731707318</v>
      </c>
      <c r="U290" s="4">
        <f t="shared" si="24"/>
        <v>0.37073170731707317</v>
      </c>
    </row>
    <row r="291" spans="1:21" x14ac:dyDescent="0.25">
      <c r="A291" t="s">
        <v>61</v>
      </c>
      <c r="B291" s="1" t="s">
        <v>27</v>
      </c>
      <c r="C291" s="1" t="s">
        <v>94</v>
      </c>
      <c r="D291" t="s">
        <v>62</v>
      </c>
      <c r="E291">
        <v>75394</v>
      </c>
      <c r="F291" t="s">
        <v>57</v>
      </c>
      <c r="G291">
        <v>7000</v>
      </c>
      <c r="H291" s="4">
        <v>2</v>
      </c>
      <c r="I291" s="5">
        <f t="shared" si="20"/>
        <v>9.5238095238095233E-2</v>
      </c>
      <c r="J291" s="4">
        <v>2</v>
      </c>
      <c r="K291" s="4">
        <v>0</v>
      </c>
      <c r="L291" s="5">
        <f t="shared" si="21"/>
        <v>0</v>
      </c>
      <c r="M291" s="4">
        <v>0</v>
      </c>
      <c r="N291" s="4">
        <v>1</v>
      </c>
      <c r="O291" s="5">
        <f t="shared" si="22"/>
        <v>0.05</v>
      </c>
      <c r="P291" s="4">
        <v>1</v>
      </c>
      <c r="Q291" s="4">
        <v>0</v>
      </c>
      <c r="R291" s="4">
        <v>0</v>
      </c>
      <c r="S291" s="5">
        <f t="shared" si="23"/>
        <v>0</v>
      </c>
      <c r="T291" s="4">
        <v>0.14634146341463417</v>
      </c>
      <c r="U291" s="4">
        <f t="shared" si="24"/>
        <v>0.19634146341463415</v>
      </c>
    </row>
    <row r="292" spans="1:21" x14ac:dyDescent="0.25">
      <c r="A292" t="s">
        <v>61</v>
      </c>
      <c r="B292" s="1" t="s">
        <v>21</v>
      </c>
      <c r="C292" s="1" t="s">
        <v>94</v>
      </c>
      <c r="D292" t="s">
        <v>62</v>
      </c>
      <c r="E292">
        <v>75395</v>
      </c>
      <c r="F292" t="s">
        <v>57</v>
      </c>
      <c r="G292">
        <v>7000</v>
      </c>
      <c r="H292" s="4">
        <v>0</v>
      </c>
      <c r="I292" s="5">
        <f t="shared" si="20"/>
        <v>0</v>
      </c>
      <c r="J292" s="4">
        <v>0</v>
      </c>
      <c r="K292" s="4">
        <v>0</v>
      </c>
      <c r="L292" s="5">
        <f t="shared" si="21"/>
        <v>0</v>
      </c>
      <c r="M292" s="4">
        <v>0</v>
      </c>
      <c r="N292" s="4">
        <v>3</v>
      </c>
      <c r="O292" s="5">
        <f t="shared" si="22"/>
        <v>0.15</v>
      </c>
      <c r="P292" s="4">
        <v>3</v>
      </c>
      <c r="Q292" s="4">
        <v>0</v>
      </c>
      <c r="R292" s="4">
        <v>0</v>
      </c>
      <c r="S292" s="5">
        <f t="shared" si="23"/>
        <v>0</v>
      </c>
      <c r="T292" s="4">
        <v>0.05</v>
      </c>
      <c r="U292" s="4">
        <f t="shared" si="24"/>
        <v>0.2</v>
      </c>
    </row>
    <row r="293" spans="1:21" x14ac:dyDescent="0.25">
      <c r="A293" t="s">
        <v>61</v>
      </c>
      <c r="B293" s="1" t="s">
        <v>21</v>
      </c>
      <c r="C293" s="1" t="s">
        <v>94</v>
      </c>
      <c r="D293" t="s">
        <v>62</v>
      </c>
      <c r="E293">
        <v>75397</v>
      </c>
      <c r="F293" t="s">
        <v>57</v>
      </c>
      <c r="G293">
        <v>7000</v>
      </c>
      <c r="H293" s="4">
        <v>1</v>
      </c>
      <c r="I293" s="5">
        <f t="shared" si="20"/>
        <v>4.7619047619047616E-2</v>
      </c>
      <c r="J293" s="4">
        <v>1</v>
      </c>
      <c r="K293" s="4">
        <v>0</v>
      </c>
      <c r="L293" s="5">
        <f t="shared" si="21"/>
        <v>0</v>
      </c>
      <c r="M293" s="4">
        <v>0</v>
      </c>
      <c r="N293" s="4">
        <v>6</v>
      </c>
      <c r="O293" s="5">
        <f t="shared" si="22"/>
        <v>0.3</v>
      </c>
      <c r="P293" s="4">
        <v>7</v>
      </c>
      <c r="Q293" s="4">
        <v>0</v>
      </c>
      <c r="R293" s="4">
        <v>0</v>
      </c>
      <c r="S293" s="5">
        <f t="shared" si="23"/>
        <v>0</v>
      </c>
      <c r="T293" s="4">
        <v>0</v>
      </c>
      <c r="U293" s="4">
        <f t="shared" si="24"/>
        <v>0.3</v>
      </c>
    </row>
    <row r="294" spans="1:21" x14ac:dyDescent="0.25">
      <c r="A294" t="s">
        <v>83</v>
      </c>
      <c r="B294" s="1" t="s">
        <v>31</v>
      </c>
      <c r="C294" s="1" t="s">
        <v>94</v>
      </c>
      <c r="D294" t="s">
        <v>62</v>
      </c>
      <c r="E294">
        <v>75399</v>
      </c>
      <c r="F294" t="s">
        <v>57</v>
      </c>
      <c r="G294">
        <v>7000</v>
      </c>
      <c r="H294" s="4">
        <v>1</v>
      </c>
      <c r="I294" s="5">
        <f t="shared" si="20"/>
        <v>4.7619047619047616E-2</v>
      </c>
      <c r="J294" s="4">
        <v>1</v>
      </c>
      <c r="K294" s="4">
        <v>0</v>
      </c>
      <c r="L294" s="5">
        <f t="shared" si="21"/>
        <v>0</v>
      </c>
      <c r="M294" s="4">
        <v>0</v>
      </c>
      <c r="N294" s="4">
        <v>1</v>
      </c>
      <c r="O294" s="5">
        <f t="shared" si="22"/>
        <v>0.05</v>
      </c>
      <c r="P294" s="4">
        <v>1</v>
      </c>
      <c r="Q294" s="4">
        <v>0</v>
      </c>
      <c r="R294" s="4">
        <v>0</v>
      </c>
      <c r="S294" s="5">
        <f t="shared" si="23"/>
        <v>0</v>
      </c>
      <c r="T294" s="4">
        <v>0</v>
      </c>
      <c r="U294" s="4">
        <f t="shared" si="24"/>
        <v>0.05</v>
      </c>
    </row>
    <row r="295" spans="1:21" x14ac:dyDescent="0.25">
      <c r="A295" t="s">
        <v>71</v>
      </c>
      <c r="B295" s="1" t="s">
        <v>22</v>
      </c>
      <c r="C295" s="1" t="s">
        <v>94</v>
      </c>
      <c r="D295" t="s">
        <v>72</v>
      </c>
      <c r="E295">
        <v>75417</v>
      </c>
      <c r="F295" t="s">
        <v>57</v>
      </c>
      <c r="G295">
        <v>7000</v>
      </c>
      <c r="H295" s="4">
        <v>26</v>
      </c>
      <c r="I295" s="5">
        <f t="shared" si="20"/>
        <v>1.2380952380952381</v>
      </c>
      <c r="J295" s="4">
        <v>28</v>
      </c>
      <c r="K295" s="4">
        <v>8</v>
      </c>
      <c r="L295" s="5">
        <f t="shared" si="21"/>
        <v>0.38095238095238093</v>
      </c>
      <c r="M295" s="4">
        <v>10</v>
      </c>
      <c r="N295" s="4">
        <v>16</v>
      </c>
      <c r="O295" s="5">
        <f t="shared" si="22"/>
        <v>0.8</v>
      </c>
      <c r="P295" s="4">
        <v>17</v>
      </c>
      <c r="Q295" s="4">
        <v>5</v>
      </c>
      <c r="R295" s="4">
        <v>7</v>
      </c>
      <c r="S295" s="5">
        <f t="shared" si="23"/>
        <v>0.25</v>
      </c>
      <c r="T295" s="4">
        <v>1.1463414634146341</v>
      </c>
      <c r="U295" s="4">
        <f t="shared" si="24"/>
        <v>1.9463414634146341</v>
      </c>
    </row>
    <row r="296" spans="1:21" x14ac:dyDescent="0.25">
      <c r="A296" t="s">
        <v>71</v>
      </c>
      <c r="B296" s="1" t="s">
        <v>22</v>
      </c>
      <c r="C296" s="1" t="s">
        <v>94</v>
      </c>
      <c r="D296" t="s">
        <v>72</v>
      </c>
      <c r="E296">
        <v>75428</v>
      </c>
      <c r="F296" t="s">
        <v>57</v>
      </c>
      <c r="G296">
        <v>7000</v>
      </c>
      <c r="H296" s="4">
        <v>1</v>
      </c>
      <c r="I296" s="5">
        <f t="shared" si="20"/>
        <v>4.7619047619047616E-2</v>
      </c>
      <c r="J296" s="4">
        <v>1</v>
      </c>
      <c r="K296" s="4">
        <v>12</v>
      </c>
      <c r="L296" s="5">
        <f t="shared" si="21"/>
        <v>0.5714285714285714</v>
      </c>
      <c r="M296" s="4">
        <v>16</v>
      </c>
      <c r="N296" s="4">
        <v>6</v>
      </c>
      <c r="O296" s="5">
        <f t="shared" si="22"/>
        <v>0.3</v>
      </c>
      <c r="P296" s="4">
        <v>6</v>
      </c>
      <c r="Q296" s="4">
        <v>18</v>
      </c>
      <c r="R296" s="4">
        <v>26</v>
      </c>
      <c r="S296" s="5">
        <f t="shared" si="23"/>
        <v>0.9</v>
      </c>
      <c r="T296" s="4">
        <v>0.78048780487804881</v>
      </c>
      <c r="U296" s="4">
        <f t="shared" si="24"/>
        <v>1.0804878048780489</v>
      </c>
    </row>
    <row r="297" spans="1:21" x14ac:dyDescent="0.25">
      <c r="A297" t="s">
        <v>71</v>
      </c>
      <c r="B297" s="1" t="s">
        <v>22</v>
      </c>
      <c r="C297" s="1" t="s">
        <v>94</v>
      </c>
      <c r="D297" t="s">
        <v>72</v>
      </c>
      <c r="E297">
        <v>75433</v>
      </c>
      <c r="F297" t="s">
        <v>57</v>
      </c>
      <c r="G297">
        <v>7000</v>
      </c>
      <c r="H297" s="4">
        <v>5</v>
      </c>
      <c r="I297" s="5">
        <f t="shared" si="20"/>
        <v>0.23809523809523808</v>
      </c>
      <c r="J297" s="4">
        <v>5</v>
      </c>
      <c r="K297" s="4">
        <v>14</v>
      </c>
      <c r="L297" s="5">
        <f t="shared" si="21"/>
        <v>0.66666666666666663</v>
      </c>
      <c r="M297" s="4">
        <v>27</v>
      </c>
      <c r="N297" s="4">
        <v>4</v>
      </c>
      <c r="O297" s="5">
        <f t="shared" si="22"/>
        <v>0.2</v>
      </c>
      <c r="P297" s="4">
        <v>4</v>
      </c>
      <c r="Q297" s="4">
        <v>13</v>
      </c>
      <c r="R297" s="4">
        <v>18</v>
      </c>
      <c r="S297" s="5">
        <f t="shared" si="23"/>
        <v>0.65</v>
      </c>
      <c r="T297" s="4">
        <v>9.7560975609756101E-2</v>
      </c>
      <c r="U297" s="4">
        <f t="shared" si="24"/>
        <v>0.29756097560975614</v>
      </c>
    </row>
    <row r="298" spans="1:21" x14ac:dyDescent="0.25">
      <c r="A298" t="s">
        <v>71</v>
      </c>
      <c r="B298" s="1" t="s">
        <v>22</v>
      </c>
      <c r="C298" s="1" t="s">
        <v>94</v>
      </c>
      <c r="D298" t="s">
        <v>72</v>
      </c>
      <c r="E298">
        <v>75438</v>
      </c>
      <c r="F298" t="s">
        <v>57</v>
      </c>
      <c r="G298">
        <v>7000</v>
      </c>
      <c r="H298" s="4">
        <v>12</v>
      </c>
      <c r="I298" s="5">
        <f t="shared" si="20"/>
        <v>0.5714285714285714</v>
      </c>
      <c r="J298" s="4">
        <v>12</v>
      </c>
      <c r="K298" s="4">
        <v>11</v>
      </c>
      <c r="L298" s="5">
        <f t="shared" si="21"/>
        <v>0.52380952380952384</v>
      </c>
      <c r="M298" s="4">
        <v>12</v>
      </c>
      <c r="N298" s="4">
        <v>11</v>
      </c>
      <c r="O298" s="5">
        <f t="shared" si="22"/>
        <v>0.55000000000000004</v>
      </c>
      <c r="P298" s="4">
        <v>12</v>
      </c>
      <c r="Q298" s="4">
        <v>9</v>
      </c>
      <c r="R298" s="4">
        <v>11</v>
      </c>
      <c r="S298" s="5">
        <f t="shared" si="23"/>
        <v>0.45</v>
      </c>
      <c r="T298" s="4">
        <v>0.68292682926829262</v>
      </c>
      <c r="U298" s="4">
        <f t="shared" si="24"/>
        <v>1.2329268292682927</v>
      </c>
    </row>
    <row r="299" spans="1:21" x14ac:dyDescent="0.25">
      <c r="A299" t="s">
        <v>71</v>
      </c>
      <c r="B299" s="1" t="s">
        <v>22</v>
      </c>
      <c r="C299" s="1" t="s">
        <v>94</v>
      </c>
      <c r="D299" t="s">
        <v>72</v>
      </c>
      <c r="E299">
        <v>75443</v>
      </c>
      <c r="F299" t="s">
        <v>57</v>
      </c>
      <c r="G299">
        <v>7000</v>
      </c>
      <c r="H299" s="4">
        <v>3</v>
      </c>
      <c r="I299" s="5">
        <f t="shared" si="20"/>
        <v>0.14285714285714285</v>
      </c>
      <c r="J299" s="4">
        <v>4</v>
      </c>
      <c r="K299" s="4">
        <v>0</v>
      </c>
      <c r="L299" s="5">
        <f t="shared" si="21"/>
        <v>0</v>
      </c>
      <c r="M299" s="4">
        <v>0</v>
      </c>
      <c r="N299" s="4">
        <v>3</v>
      </c>
      <c r="O299" s="5">
        <f t="shared" si="22"/>
        <v>0.15</v>
      </c>
      <c r="P299" s="4">
        <v>3</v>
      </c>
      <c r="Q299" s="4">
        <v>0</v>
      </c>
      <c r="R299" s="4">
        <v>0</v>
      </c>
      <c r="S299" s="5">
        <f t="shared" si="23"/>
        <v>0</v>
      </c>
      <c r="T299" s="4">
        <v>0.36585365853658536</v>
      </c>
      <c r="U299" s="4">
        <f t="shared" si="24"/>
        <v>0.51585365853658538</v>
      </c>
    </row>
    <row r="300" spans="1:21" x14ac:dyDescent="0.25">
      <c r="A300" t="s">
        <v>71</v>
      </c>
      <c r="B300" s="1" t="s">
        <v>23</v>
      </c>
      <c r="C300" s="1" t="s">
        <v>94</v>
      </c>
      <c r="D300" t="s">
        <v>72</v>
      </c>
      <c r="E300">
        <v>75446</v>
      </c>
      <c r="F300" t="s">
        <v>57</v>
      </c>
      <c r="G300">
        <v>7000</v>
      </c>
      <c r="H300" s="4">
        <v>1</v>
      </c>
      <c r="I300" s="5">
        <f t="shared" si="20"/>
        <v>4.7619047619047616E-2</v>
      </c>
      <c r="J300" s="4">
        <v>1</v>
      </c>
      <c r="K300" s="4">
        <v>7</v>
      </c>
      <c r="L300" s="5">
        <f t="shared" si="21"/>
        <v>0.33333333333333331</v>
      </c>
      <c r="M300" s="4">
        <v>7</v>
      </c>
      <c r="N300" s="4">
        <v>2</v>
      </c>
      <c r="O300" s="5">
        <f t="shared" si="22"/>
        <v>0.1</v>
      </c>
      <c r="P300" s="4">
        <v>2</v>
      </c>
      <c r="Q300" s="4">
        <v>5</v>
      </c>
      <c r="R300" s="4">
        <v>5</v>
      </c>
      <c r="S300" s="5">
        <f t="shared" si="23"/>
        <v>0.25</v>
      </c>
      <c r="T300" s="4">
        <v>0.26829268292682928</v>
      </c>
      <c r="U300" s="4">
        <f t="shared" si="24"/>
        <v>0.36829268292682926</v>
      </c>
    </row>
    <row r="301" spans="1:21" x14ac:dyDescent="0.25">
      <c r="A301" t="s">
        <v>71</v>
      </c>
      <c r="B301" s="1" t="s">
        <v>22</v>
      </c>
      <c r="C301" s="1" t="s">
        <v>94</v>
      </c>
      <c r="D301" t="s">
        <v>72</v>
      </c>
      <c r="E301">
        <v>75447</v>
      </c>
      <c r="F301" t="s">
        <v>57</v>
      </c>
      <c r="G301">
        <v>7000</v>
      </c>
      <c r="H301" s="4">
        <v>1</v>
      </c>
      <c r="I301" s="5">
        <f t="shared" si="20"/>
        <v>4.7619047619047616E-2</v>
      </c>
      <c r="J301" s="4">
        <v>1</v>
      </c>
      <c r="K301" s="4">
        <v>2</v>
      </c>
      <c r="L301" s="5">
        <f t="shared" si="21"/>
        <v>9.5238095238095233E-2</v>
      </c>
      <c r="M301" s="4">
        <v>2</v>
      </c>
      <c r="N301" s="4">
        <v>2</v>
      </c>
      <c r="O301" s="5">
        <f t="shared" si="22"/>
        <v>0.1</v>
      </c>
      <c r="P301" s="4">
        <v>2</v>
      </c>
      <c r="Q301" s="4">
        <v>1</v>
      </c>
      <c r="R301" s="4">
        <v>1</v>
      </c>
      <c r="S301" s="5">
        <f t="shared" si="23"/>
        <v>0.05</v>
      </c>
      <c r="T301" s="4">
        <v>0.29268292682926833</v>
      </c>
      <c r="U301" s="4">
        <f t="shared" si="24"/>
        <v>0.39268292682926831</v>
      </c>
    </row>
    <row r="302" spans="1:21" x14ac:dyDescent="0.25">
      <c r="A302" t="s">
        <v>83</v>
      </c>
      <c r="B302" s="1" t="s">
        <v>31</v>
      </c>
      <c r="C302" s="1" t="s">
        <v>94</v>
      </c>
      <c r="D302" t="s">
        <v>62</v>
      </c>
      <c r="E302">
        <v>75449</v>
      </c>
      <c r="F302" t="s">
        <v>57</v>
      </c>
      <c r="G302">
        <v>7000</v>
      </c>
      <c r="H302" s="4">
        <v>0</v>
      </c>
      <c r="I302" s="5">
        <f t="shared" si="20"/>
        <v>0</v>
      </c>
      <c r="J302" s="4">
        <v>0</v>
      </c>
      <c r="K302" s="4">
        <v>2</v>
      </c>
      <c r="L302" s="5">
        <f t="shared" si="21"/>
        <v>9.5238095238095233E-2</v>
      </c>
      <c r="M302" s="4">
        <v>2</v>
      </c>
      <c r="N302" s="4">
        <v>0</v>
      </c>
      <c r="O302" s="5">
        <f t="shared" si="22"/>
        <v>0</v>
      </c>
      <c r="P302" s="4">
        <v>0</v>
      </c>
      <c r="Q302" s="4">
        <v>0</v>
      </c>
      <c r="R302" s="4">
        <v>0</v>
      </c>
      <c r="S302" s="5">
        <f t="shared" si="23"/>
        <v>0</v>
      </c>
      <c r="T302" s="4">
        <v>0.3902439024390244</v>
      </c>
      <c r="U302" s="4">
        <f t="shared" si="24"/>
        <v>0.3902439024390244</v>
      </c>
    </row>
    <row r="303" spans="1:21" x14ac:dyDescent="0.25">
      <c r="I303" s="5"/>
    </row>
  </sheetData>
  <autoFilter ref="A1:T303" xr:uid="{F78A6C46-936D-470F-8C72-2E3A34909F9A}"/>
  <phoneticPr fontId="2" type="noConversion"/>
  <pageMargins left="0.7" right="0.7" top="0.78740157499999996" bottom="0.78740157499999996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FEBB86-7347-4A07-AC19-F951BDA19BED}">
  <dimension ref="A1:D302"/>
  <sheetViews>
    <sheetView zoomScale="130" zoomScaleNormal="130" workbookViewId="0">
      <selection activeCell="H205" sqref="H205"/>
    </sheetView>
  </sheetViews>
  <sheetFormatPr baseColWidth="10" defaultColWidth="11.42578125" defaultRowHeight="15" x14ac:dyDescent="0.25"/>
  <cols>
    <col min="3" max="3" width="15.85546875" bestFit="1" customWidth="1"/>
  </cols>
  <sheetData>
    <row r="1" spans="1:4" x14ac:dyDescent="0.25">
      <c r="A1" t="s">
        <v>38</v>
      </c>
      <c r="B1" t="s">
        <v>89</v>
      </c>
      <c r="C1" t="s">
        <v>90</v>
      </c>
    </row>
    <row r="2" spans="1:4" x14ac:dyDescent="0.25">
      <c r="A2">
        <v>70173</v>
      </c>
      <c r="B2" s="1" t="s">
        <v>9</v>
      </c>
      <c r="C2" t="s">
        <v>56</v>
      </c>
      <c r="D2" s="1"/>
    </row>
    <row r="3" spans="1:4" x14ac:dyDescent="0.25">
      <c r="A3">
        <v>70174</v>
      </c>
      <c r="B3" s="1" t="s">
        <v>9</v>
      </c>
      <c r="C3" t="s">
        <v>56</v>
      </c>
      <c r="D3" s="1"/>
    </row>
    <row r="4" spans="1:4" x14ac:dyDescent="0.25">
      <c r="A4">
        <v>70176</v>
      </c>
      <c r="B4" s="1" t="s">
        <v>9</v>
      </c>
      <c r="C4" t="s">
        <v>56</v>
      </c>
      <c r="D4" s="1"/>
    </row>
    <row r="5" spans="1:4" x14ac:dyDescent="0.25">
      <c r="A5">
        <v>70178</v>
      </c>
      <c r="B5" s="1" t="s">
        <v>9</v>
      </c>
      <c r="C5" t="s">
        <v>56</v>
      </c>
      <c r="D5" s="1"/>
    </row>
    <row r="6" spans="1:4" x14ac:dyDescent="0.25">
      <c r="A6">
        <v>70180</v>
      </c>
      <c r="B6" s="1" t="s">
        <v>9</v>
      </c>
      <c r="C6" t="s">
        <v>56</v>
      </c>
      <c r="D6" s="1"/>
    </row>
    <row r="7" spans="1:4" x14ac:dyDescent="0.25">
      <c r="A7">
        <v>70182</v>
      </c>
      <c r="B7" s="1" t="s">
        <v>9</v>
      </c>
      <c r="C7" t="s">
        <v>56</v>
      </c>
      <c r="D7" s="1"/>
    </row>
    <row r="8" spans="1:4" x14ac:dyDescent="0.25">
      <c r="A8">
        <v>70184</v>
      </c>
      <c r="B8" s="1" t="s">
        <v>9</v>
      </c>
      <c r="C8" t="s">
        <v>56</v>
      </c>
      <c r="D8" s="1"/>
    </row>
    <row r="9" spans="1:4" x14ac:dyDescent="0.25">
      <c r="A9">
        <v>70186</v>
      </c>
      <c r="B9" s="1" t="s">
        <v>9</v>
      </c>
      <c r="C9" t="s">
        <v>56</v>
      </c>
      <c r="D9" s="1"/>
    </row>
    <row r="10" spans="1:4" x14ac:dyDescent="0.25">
      <c r="A10">
        <v>70188</v>
      </c>
      <c r="B10" s="1" t="s">
        <v>9</v>
      </c>
      <c r="C10" t="s">
        <v>56</v>
      </c>
      <c r="D10" s="1"/>
    </row>
    <row r="11" spans="1:4" x14ac:dyDescent="0.25">
      <c r="A11">
        <v>70190</v>
      </c>
      <c r="B11" s="1" t="s">
        <v>9</v>
      </c>
      <c r="C11" t="s">
        <v>56</v>
      </c>
      <c r="D11" s="1"/>
    </row>
    <row r="12" spans="1:4" x14ac:dyDescent="0.25">
      <c r="A12">
        <v>70191</v>
      </c>
      <c r="B12" s="1" t="s">
        <v>9</v>
      </c>
      <c r="C12" t="s">
        <v>56</v>
      </c>
      <c r="D12" s="1"/>
    </row>
    <row r="13" spans="1:4" x14ac:dyDescent="0.25">
      <c r="A13">
        <v>70192</v>
      </c>
      <c r="B13" s="1" t="s">
        <v>9</v>
      </c>
      <c r="C13" t="s">
        <v>56</v>
      </c>
      <c r="D13" s="1"/>
    </row>
    <row r="14" spans="1:4" x14ac:dyDescent="0.25">
      <c r="A14">
        <v>70193</v>
      </c>
      <c r="B14" s="1" t="s">
        <v>9</v>
      </c>
      <c r="C14" t="s">
        <v>56</v>
      </c>
      <c r="D14" s="1"/>
    </row>
    <row r="15" spans="1:4" x14ac:dyDescent="0.25">
      <c r="A15">
        <v>70195</v>
      </c>
      <c r="B15" s="1" t="s">
        <v>20</v>
      </c>
      <c r="C15" t="s">
        <v>91</v>
      </c>
      <c r="D15" s="1"/>
    </row>
    <row r="16" spans="1:4" x14ac:dyDescent="0.25">
      <c r="A16">
        <v>70197</v>
      </c>
      <c r="B16" s="1" t="s">
        <v>20</v>
      </c>
      <c r="C16" t="s">
        <v>91</v>
      </c>
      <c r="D16" s="1"/>
    </row>
    <row r="17" spans="1:4" x14ac:dyDescent="0.25">
      <c r="A17">
        <v>70199</v>
      </c>
      <c r="B17" s="1" t="s">
        <v>9</v>
      </c>
      <c r="C17" t="s">
        <v>56</v>
      </c>
      <c r="D17" s="1"/>
    </row>
    <row r="18" spans="1:4" x14ac:dyDescent="0.25">
      <c r="A18">
        <v>70327</v>
      </c>
      <c r="B18" s="1" t="s">
        <v>9</v>
      </c>
      <c r="C18" t="s">
        <v>56</v>
      </c>
      <c r="D18" s="1"/>
    </row>
    <row r="19" spans="1:4" x14ac:dyDescent="0.25">
      <c r="A19">
        <v>70329</v>
      </c>
      <c r="B19" s="1" t="s">
        <v>9</v>
      </c>
      <c r="C19" t="s">
        <v>56</v>
      </c>
      <c r="D19" s="1"/>
    </row>
    <row r="20" spans="1:4" x14ac:dyDescent="0.25">
      <c r="A20">
        <v>70372</v>
      </c>
      <c r="B20" s="1" t="s">
        <v>8</v>
      </c>
      <c r="C20" t="s">
        <v>77</v>
      </c>
      <c r="D20" s="1"/>
    </row>
    <row r="21" spans="1:4" x14ac:dyDescent="0.25">
      <c r="A21">
        <v>70374</v>
      </c>
      <c r="B21" s="1" t="s">
        <v>8</v>
      </c>
      <c r="C21" t="s">
        <v>77</v>
      </c>
      <c r="D21" s="1"/>
    </row>
    <row r="22" spans="1:4" x14ac:dyDescent="0.25">
      <c r="A22">
        <v>70376</v>
      </c>
      <c r="B22" s="1" t="s">
        <v>8</v>
      </c>
      <c r="C22" t="s">
        <v>77</v>
      </c>
      <c r="D22" s="1"/>
    </row>
    <row r="23" spans="1:4" x14ac:dyDescent="0.25">
      <c r="A23">
        <v>70378</v>
      </c>
      <c r="B23" s="1" t="s">
        <v>8</v>
      </c>
      <c r="C23" t="s">
        <v>77</v>
      </c>
      <c r="D23" s="1"/>
    </row>
    <row r="24" spans="1:4" x14ac:dyDescent="0.25">
      <c r="A24">
        <v>70435</v>
      </c>
      <c r="B24" s="1" t="s">
        <v>8</v>
      </c>
      <c r="C24" t="s">
        <v>77</v>
      </c>
      <c r="D24" s="1"/>
    </row>
    <row r="25" spans="1:4" x14ac:dyDescent="0.25">
      <c r="A25">
        <v>70437</v>
      </c>
      <c r="B25" s="1" t="s">
        <v>8</v>
      </c>
      <c r="C25" t="s">
        <v>77</v>
      </c>
      <c r="D25" s="1"/>
    </row>
    <row r="26" spans="1:4" x14ac:dyDescent="0.25">
      <c r="A26">
        <v>70439</v>
      </c>
      <c r="B26" s="1" t="s">
        <v>8</v>
      </c>
      <c r="C26" t="s">
        <v>77</v>
      </c>
      <c r="D26" s="1"/>
    </row>
    <row r="27" spans="1:4" x14ac:dyDescent="0.25">
      <c r="A27">
        <v>70469</v>
      </c>
      <c r="B27" s="1" t="s">
        <v>8</v>
      </c>
      <c r="C27" t="s">
        <v>77</v>
      </c>
      <c r="D27" s="1"/>
    </row>
    <row r="28" spans="1:4" x14ac:dyDescent="0.25">
      <c r="A28">
        <v>70499</v>
      </c>
      <c r="B28" s="1" t="s">
        <v>20</v>
      </c>
      <c r="C28" t="s">
        <v>91</v>
      </c>
      <c r="D28" s="1"/>
    </row>
    <row r="29" spans="1:4" x14ac:dyDescent="0.25">
      <c r="A29">
        <v>70563</v>
      </c>
      <c r="B29" s="1" t="s">
        <v>19</v>
      </c>
      <c r="C29" t="s">
        <v>62</v>
      </c>
      <c r="D29" s="1"/>
    </row>
    <row r="30" spans="1:4" x14ac:dyDescent="0.25">
      <c r="A30">
        <v>70565</v>
      </c>
      <c r="B30" s="1" t="s">
        <v>19</v>
      </c>
      <c r="C30" t="s">
        <v>62</v>
      </c>
      <c r="D30" s="1"/>
    </row>
    <row r="31" spans="1:4" x14ac:dyDescent="0.25">
      <c r="A31">
        <v>70567</v>
      </c>
      <c r="B31" s="1" t="s">
        <v>19</v>
      </c>
      <c r="C31" t="s">
        <v>62</v>
      </c>
      <c r="D31" s="1"/>
    </row>
    <row r="32" spans="1:4" x14ac:dyDescent="0.25">
      <c r="A32">
        <v>70569</v>
      </c>
      <c r="B32" s="1" t="s">
        <v>19</v>
      </c>
      <c r="C32" t="s">
        <v>62</v>
      </c>
      <c r="D32" s="1"/>
    </row>
    <row r="33" spans="1:4" x14ac:dyDescent="0.25">
      <c r="A33">
        <v>70597</v>
      </c>
      <c r="B33" s="1" t="s">
        <v>19</v>
      </c>
      <c r="C33" t="s">
        <v>62</v>
      </c>
      <c r="D33" s="1"/>
    </row>
    <row r="34" spans="1:4" x14ac:dyDescent="0.25">
      <c r="A34">
        <v>70599</v>
      </c>
      <c r="B34" s="1" t="s">
        <v>19</v>
      </c>
      <c r="C34" t="s">
        <v>62</v>
      </c>
      <c r="D34" s="1"/>
    </row>
    <row r="35" spans="1:4" x14ac:dyDescent="0.25">
      <c r="A35">
        <v>70619</v>
      </c>
      <c r="B35" s="1" t="s">
        <v>19</v>
      </c>
      <c r="C35" t="s">
        <v>62</v>
      </c>
      <c r="D35" s="1"/>
    </row>
    <row r="36" spans="1:4" x14ac:dyDescent="0.25">
      <c r="A36">
        <v>70629</v>
      </c>
      <c r="B36" s="1" t="s">
        <v>19</v>
      </c>
      <c r="C36" t="s">
        <v>62</v>
      </c>
      <c r="D36" s="1"/>
    </row>
    <row r="37" spans="1:4" x14ac:dyDescent="0.25">
      <c r="A37">
        <v>70734</v>
      </c>
      <c r="B37" s="1" t="s">
        <v>5</v>
      </c>
      <c r="C37" t="s">
        <v>91</v>
      </c>
      <c r="D37" s="1"/>
    </row>
    <row r="38" spans="1:4" x14ac:dyDescent="0.25">
      <c r="A38">
        <v>70736</v>
      </c>
      <c r="B38" s="1" t="s">
        <v>5</v>
      </c>
      <c r="C38" t="s">
        <v>91</v>
      </c>
      <c r="D38" s="1"/>
    </row>
    <row r="39" spans="1:4" x14ac:dyDescent="0.25">
      <c r="A39">
        <v>70771</v>
      </c>
      <c r="B39" s="1" t="s">
        <v>19</v>
      </c>
      <c r="C39" t="s">
        <v>62</v>
      </c>
      <c r="D39" s="1"/>
    </row>
    <row r="40" spans="1:4" x14ac:dyDescent="0.25">
      <c r="A40">
        <v>70794</v>
      </c>
      <c r="B40" s="1" t="s">
        <v>19</v>
      </c>
      <c r="C40" t="s">
        <v>62</v>
      </c>
      <c r="D40" s="1"/>
    </row>
    <row r="41" spans="1:4" x14ac:dyDescent="0.25">
      <c r="A41">
        <v>70806</v>
      </c>
      <c r="B41" s="1" t="s">
        <v>8</v>
      </c>
      <c r="C41" t="s">
        <v>77</v>
      </c>
      <c r="D41" s="1"/>
    </row>
    <row r="42" spans="1:4" x14ac:dyDescent="0.25">
      <c r="A42">
        <v>70825</v>
      </c>
      <c r="B42" s="1" t="s">
        <v>14</v>
      </c>
      <c r="C42" t="s">
        <v>77</v>
      </c>
      <c r="D42" s="1"/>
    </row>
    <row r="43" spans="1:4" x14ac:dyDescent="0.25">
      <c r="A43">
        <v>70839</v>
      </c>
      <c r="B43" s="1" t="s">
        <v>20</v>
      </c>
      <c r="C43" t="s">
        <v>91</v>
      </c>
      <c r="D43" s="1"/>
    </row>
    <row r="44" spans="1:4" x14ac:dyDescent="0.25">
      <c r="A44">
        <v>71032</v>
      </c>
      <c r="B44" s="1" t="s">
        <v>17</v>
      </c>
      <c r="C44" t="s">
        <v>91</v>
      </c>
      <c r="D44" s="1"/>
    </row>
    <row r="45" spans="1:4" x14ac:dyDescent="0.25">
      <c r="A45">
        <v>71034</v>
      </c>
      <c r="B45" s="1" t="s">
        <v>17</v>
      </c>
      <c r="C45" t="s">
        <v>91</v>
      </c>
      <c r="D45" s="1"/>
    </row>
    <row r="46" spans="1:4" x14ac:dyDescent="0.25">
      <c r="A46">
        <v>71063</v>
      </c>
      <c r="B46" s="1" t="s">
        <v>17</v>
      </c>
      <c r="C46" t="s">
        <v>91</v>
      </c>
      <c r="D46" s="1"/>
    </row>
    <row r="47" spans="1:4" x14ac:dyDescent="0.25">
      <c r="A47">
        <v>71065</v>
      </c>
      <c r="B47" s="1" t="s">
        <v>17</v>
      </c>
      <c r="C47" t="s">
        <v>91</v>
      </c>
      <c r="D47" s="1"/>
    </row>
    <row r="48" spans="1:4" x14ac:dyDescent="0.25">
      <c r="A48">
        <v>71067</v>
      </c>
      <c r="B48" s="1" t="s">
        <v>17</v>
      </c>
      <c r="C48" t="s">
        <v>91</v>
      </c>
      <c r="D48" s="1"/>
    </row>
    <row r="49" spans="1:4" x14ac:dyDescent="0.25">
      <c r="A49">
        <v>71069</v>
      </c>
      <c r="B49" s="1" t="s">
        <v>16</v>
      </c>
      <c r="C49" t="s">
        <v>91</v>
      </c>
      <c r="D49" s="1"/>
    </row>
    <row r="50" spans="1:4" x14ac:dyDescent="0.25">
      <c r="A50">
        <v>71083</v>
      </c>
      <c r="B50" s="1" t="s">
        <v>16</v>
      </c>
      <c r="C50" t="s">
        <v>91</v>
      </c>
      <c r="D50" s="1"/>
    </row>
    <row r="51" spans="1:4" x14ac:dyDescent="0.25">
      <c r="A51">
        <v>71088</v>
      </c>
      <c r="B51" s="1" t="s">
        <v>17</v>
      </c>
      <c r="C51" t="s">
        <v>91</v>
      </c>
      <c r="D51" s="1"/>
    </row>
    <row r="52" spans="1:4" x14ac:dyDescent="0.25">
      <c r="A52">
        <v>71093</v>
      </c>
      <c r="B52" s="1" t="s">
        <v>17</v>
      </c>
      <c r="C52" t="s">
        <v>91</v>
      </c>
      <c r="D52" s="1"/>
    </row>
    <row r="53" spans="1:4" x14ac:dyDescent="0.25">
      <c r="A53">
        <v>71101</v>
      </c>
      <c r="B53" s="1" t="s">
        <v>17</v>
      </c>
      <c r="C53" t="s">
        <v>91</v>
      </c>
      <c r="D53" s="1"/>
    </row>
    <row r="54" spans="1:4" x14ac:dyDescent="0.25">
      <c r="A54">
        <v>71106</v>
      </c>
      <c r="B54" s="1" t="s">
        <v>21</v>
      </c>
      <c r="C54" t="s">
        <v>91</v>
      </c>
      <c r="D54" s="1"/>
    </row>
    <row r="55" spans="1:4" x14ac:dyDescent="0.25">
      <c r="A55">
        <v>71111</v>
      </c>
      <c r="B55" s="1" t="s">
        <v>17</v>
      </c>
      <c r="C55" t="s">
        <v>91</v>
      </c>
      <c r="D55" s="1"/>
    </row>
    <row r="56" spans="1:4" x14ac:dyDescent="0.25">
      <c r="A56">
        <v>71116</v>
      </c>
      <c r="B56" s="1" t="s">
        <v>16</v>
      </c>
      <c r="C56" t="s">
        <v>91</v>
      </c>
      <c r="D56" s="1"/>
    </row>
    <row r="57" spans="1:4" x14ac:dyDescent="0.25">
      <c r="A57">
        <v>71120</v>
      </c>
      <c r="B57" s="1" t="s">
        <v>16</v>
      </c>
      <c r="C57" t="s">
        <v>91</v>
      </c>
      <c r="D57" s="1"/>
    </row>
    <row r="58" spans="1:4" x14ac:dyDescent="0.25">
      <c r="A58">
        <v>71126</v>
      </c>
      <c r="B58" s="1" t="s">
        <v>26</v>
      </c>
      <c r="C58" t="s">
        <v>91</v>
      </c>
      <c r="D58" s="1"/>
    </row>
    <row r="59" spans="1:4" x14ac:dyDescent="0.25">
      <c r="A59">
        <v>71131</v>
      </c>
      <c r="B59" s="1" t="s">
        <v>26</v>
      </c>
      <c r="C59" t="s">
        <v>91</v>
      </c>
      <c r="D59" s="1"/>
    </row>
    <row r="60" spans="1:4" x14ac:dyDescent="0.25">
      <c r="A60">
        <v>71134</v>
      </c>
      <c r="B60" s="1" t="s">
        <v>16</v>
      </c>
      <c r="C60" t="s">
        <v>91</v>
      </c>
      <c r="D60" s="1"/>
    </row>
    <row r="61" spans="1:4" x14ac:dyDescent="0.25">
      <c r="A61">
        <v>71139</v>
      </c>
      <c r="B61" s="1" t="s">
        <v>16</v>
      </c>
      <c r="C61" t="s">
        <v>91</v>
      </c>
      <c r="D61" s="1"/>
    </row>
    <row r="62" spans="1:4" x14ac:dyDescent="0.25">
      <c r="A62">
        <v>71144</v>
      </c>
      <c r="B62" s="1" t="s">
        <v>19</v>
      </c>
      <c r="C62" t="s">
        <v>62</v>
      </c>
      <c r="D62" s="1"/>
    </row>
    <row r="63" spans="1:4" x14ac:dyDescent="0.25">
      <c r="A63">
        <v>71149</v>
      </c>
      <c r="B63" s="1" t="s">
        <v>26</v>
      </c>
      <c r="C63" t="s">
        <v>91</v>
      </c>
      <c r="D63" s="1"/>
    </row>
    <row r="64" spans="1:4" x14ac:dyDescent="0.25">
      <c r="A64">
        <v>71154</v>
      </c>
      <c r="B64" s="1" t="s">
        <v>16</v>
      </c>
      <c r="C64" t="s">
        <v>91</v>
      </c>
      <c r="D64" s="1"/>
    </row>
    <row r="65" spans="1:4" x14ac:dyDescent="0.25">
      <c r="A65">
        <v>71155</v>
      </c>
      <c r="B65" s="1" t="s">
        <v>16</v>
      </c>
      <c r="C65" t="s">
        <v>91</v>
      </c>
      <c r="D65" s="1"/>
    </row>
    <row r="66" spans="1:4" x14ac:dyDescent="0.25">
      <c r="A66">
        <v>71157</v>
      </c>
      <c r="B66" s="1" t="s">
        <v>16</v>
      </c>
      <c r="C66" t="s">
        <v>91</v>
      </c>
      <c r="D66" s="1"/>
    </row>
    <row r="67" spans="1:4" x14ac:dyDescent="0.25">
      <c r="A67">
        <v>71159</v>
      </c>
      <c r="B67" s="1" t="s">
        <v>26</v>
      </c>
      <c r="C67" t="s">
        <v>91</v>
      </c>
      <c r="D67" s="1"/>
    </row>
    <row r="68" spans="1:4" x14ac:dyDescent="0.25">
      <c r="A68">
        <v>71229</v>
      </c>
      <c r="B68" s="1" t="s">
        <v>20</v>
      </c>
      <c r="C68" t="s">
        <v>91</v>
      </c>
      <c r="D68" s="1"/>
    </row>
    <row r="69" spans="1:4" x14ac:dyDescent="0.25">
      <c r="A69">
        <v>71254</v>
      </c>
      <c r="B69" s="1" t="s">
        <v>23</v>
      </c>
      <c r="C69" t="s">
        <v>67</v>
      </c>
      <c r="D69" s="1"/>
    </row>
    <row r="70" spans="1:4" x14ac:dyDescent="0.25">
      <c r="A70">
        <v>71263</v>
      </c>
      <c r="B70" s="1" t="s">
        <v>21</v>
      </c>
      <c r="C70" t="s">
        <v>91</v>
      </c>
      <c r="D70" s="1"/>
    </row>
    <row r="71" spans="1:4" x14ac:dyDescent="0.25">
      <c r="A71">
        <v>71272</v>
      </c>
      <c r="B71" s="1" t="s">
        <v>21</v>
      </c>
      <c r="C71" t="s">
        <v>91</v>
      </c>
      <c r="D71" s="1"/>
    </row>
    <row r="72" spans="1:4" x14ac:dyDescent="0.25">
      <c r="A72">
        <v>71277</v>
      </c>
      <c r="B72" s="1" t="s">
        <v>20</v>
      </c>
      <c r="C72" t="s">
        <v>91</v>
      </c>
      <c r="D72" s="1"/>
    </row>
    <row r="73" spans="1:4" x14ac:dyDescent="0.25">
      <c r="A73">
        <v>71282</v>
      </c>
      <c r="B73" s="1" t="s">
        <v>23</v>
      </c>
      <c r="C73" t="s">
        <v>67</v>
      </c>
      <c r="D73" s="1"/>
    </row>
    <row r="74" spans="1:4" x14ac:dyDescent="0.25">
      <c r="A74">
        <v>71287</v>
      </c>
      <c r="B74" s="1" t="s">
        <v>23</v>
      </c>
      <c r="C74" t="s">
        <v>67</v>
      </c>
      <c r="D74" s="1"/>
    </row>
    <row r="75" spans="1:4" x14ac:dyDescent="0.25">
      <c r="A75">
        <v>71292</v>
      </c>
      <c r="B75" s="1" t="s">
        <v>23</v>
      </c>
      <c r="C75" t="s">
        <v>67</v>
      </c>
      <c r="D75" s="1"/>
    </row>
    <row r="76" spans="1:4" x14ac:dyDescent="0.25">
      <c r="A76">
        <v>71296</v>
      </c>
      <c r="B76" s="1" t="s">
        <v>20</v>
      </c>
      <c r="C76" t="s">
        <v>91</v>
      </c>
      <c r="D76" s="1"/>
    </row>
    <row r="77" spans="1:4" x14ac:dyDescent="0.25">
      <c r="A77">
        <v>71297</v>
      </c>
      <c r="B77" s="1" t="s">
        <v>23</v>
      </c>
      <c r="C77" t="s">
        <v>67</v>
      </c>
      <c r="D77" s="1"/>
    </row>
    <row r="78" spans="1:4" x14ac:dyDescent="0.25">
      <c r="A78">
        <v>71299</v>
      </c>
      <c r="B78" s="1" t="s">
        <v>23</v>
      </c>
      <c r="C78" t="s">
        <v>67</v>
      </c>
      <c r="D78" s="1"/>
    </row>
    <row r="79" spans="1:4" x14ac:dyDescent="0.25">
      <c r="A79">
        <v>71332</v>
      </c>
      <c r="B79" s="1" t="s">
        <v>5</v>
      </c>
      <c r="C79" t="s">
        <v>91</v>
      </c>
      <c r="D79" s="1"/>
    </row>
    <row r="80" spans="1:4" x14ac:dyDescent="0.25">
      <c r="A80">
        <v>71334</v>
      </c>
      <c r="B80" s="1" t="s">
        <v>5</v>
      </c>
      <c r="C80" t="s">
        <v>91</v>
      </c>
      <c r="D80" s="1"/>
    </row>
    <row r="81" spans="1:4" x14ac:dyDescent="0.25">
      <c r="A81">
        <v>71336</v>
      </c>
      <c r="B81" s="1" t="s">
        <v>5</v>
      </c>
      <c r="C81" t="s">
        <v>91</v>
      </c>
      <c r="D81" s="1"/>
    </row>
    <row r="82" spans="1:4" x14ac:dyDescent="0.25">
      <c r="A82">
        <v>71364</v>
      </c>
      <c r="B82" s="1" t="s">
        <v>4</v>
      </c>
      <c r="C82" t="s">
        <v>91</v>
      </c>
      <c r="D82" s="1"/>
    </row>
    <row r="83" spans="1:4" x14ac:dyDescent="0.25">
      <c r="A83">
        <v>71384</v>
      </c>
      <c r="B83" s="1" t="s">
        <v>24</v>
      </c>
      <c r="C83" t="s">
        <v>92</v>
      </c>
      <c r="D83" s="1"/>
    </row>
    <row r="84" spans="1:4" x14ac:dyDescent="0.25">
      <c r="A84">
        <v>71394</v>
      </c>
      <c r="B84" s="1" t="s">
        <v>24</v>
      </c>
      <c r="C84" t="s">
        <v>92</v>
      </c>
      <c r="D84" s="1"/>
    </row>
    <row r="85" spans="1:4" x14ac:dyDescent="0.25">
      <c r="A85">
        <v>71397</v>
      </c>
      <c r="B85" s="1" t="s">
        <v>4</v>
      </c>
      <c r="C85" t="s">
        <v>91</v>
      </c>
      <c r="D85" s="1"/>
    </row>
    <row r="86" spans="1:4" x14ac:dyDescent="0.25">
      <c r="A86">
        <v>71404</v>
      </c>
      <c r="B86" s="1" t="s">
        <v>4</v>
      </c>
      <c r="C86" t="s">
        <v>91</v>
      </c>
      <c r="D86" s="1"/>
    </row>
    <row r="87" spans="1:4" x14ac:dyDescent="0.25">
      <c r="A87">
        <v>71409</v>
      </c>
      <c r="B87" s="1" t="s">
        <v>4</v>
      </c>
      <c r="C87" t="s">
        <v>91</v>
      </c>
      <c r="D87" s="1"/>
    </row>
    <row r="88" spans="1:4" x14ac:dyDescent="0.25">
      <c r="A88">
        <v>71522</v>
      </c>
      <c r="B88" s="1" t="s">
        <v>15</v>
      </c>
      <c r="C88" t="s">
        <v>77</v>
      </c>
      <c r="D88" s="1"/>
    </row>
    <row r="89" spans="1:4" x14ac:dyDescent="0.25">
      <c r="A89">
        <v>71540</v>
      </c>
      <c r="B89" s="1" t="s">
        <v>15</v>
      </c>
      <c r="C89" t="s">
        <v>77</v>
      </c>
      <c r="D89" s="1"/>
    </row>
    <row r="90" spans="1:4" x14ac:dyDescent="0.25">
      <c r="A90">
        <v>71543</v>
      </c>
      <c r="B90" s="1" t="s">
        <v>15</v>
      </c>
      <c r="C90" t="s">
        <v>77</v>
      </c>
      <c r="D90" s="1"/>
    </row>
    <row r="91" spans="1:4" x14ac:dyDescent="0.25">
      <c r="A91">
        <v>71546</v>
      </c>
      <c r="B91" s="1" t="s">
        <v>15</v>
      </c>
      <c r="C91" t="s">
        <v>77</v>
      </c>
      <c r="D91" s="1"/>
    </row>
    <row r="92" spans="1:4" x14ac:dyDescent="0.25">
      <c r="A92">
        <v>71549</v>
      </c>
      <c r="B92" s="1" t="s">
        <v>15</v>
      </c>
      <c r="C92" t="s">
        <v>77</v>
      </c>
      <c r="D92" s="1"/>
    </row>
    <row r="93" spans="1:4" x14ac:dyDescent="0.25">
      <c r="A93">
        <v>71554</v>
      </c>
      <c r="B93" s="1" t="s">
        <v>15</v>
      </c>
      <c r="C93" t="s">
        <v>77</v>
      </c>
      <c r="D93" s="1"/>
    </row>
    <row r="94" spans="1:4" x14ac:dyDescent="0.25">
      <c r="A94">
        <v>71560</v>
      </c>
      <c r="B94" s="1" t="s">
        <v>15</v>
      </c>
      <c r="C94" t="s">
        <v>77</v>
      </c>
      <c r="D94" s="1"/>
    </row>
    <row r="95" spans="1:4" x14ac:dyDescent="0.25">
      <c r="A95">
        <v>71563</v>
      </c>
      <c r="B95" s="1" t="s">
        <v>15</v>
      </c>
      <c r="C95" t="s">
        <v>77</v>
      </c>
      <c r="D95" s="1"/>
    </row>
    <row r="96" spans="1:4" x14ac:dyDescent="0.25">
      <c r="A96">
        <v>71566</v>
      </c>
      <c r="B96" s="1" t="s">
        <v>15</v>
      </c>
      <c r="C96" t="s">
        <v>77</v>
      </c>
      <c r="D96" s="1"/>
    </row>
    <row r="97" spans="1:4" x14ac:dyDescent="0.25">
      <c r="A97">
        <v>71570</v>
      </c>
      <c r="B97" s="1" t="s">
        <v>15</v>
      </c>
      <c r="C97" t="s">
        <v>77</v>
      </c>
      <c r="D97" s="1"/>
    </row>
    <row r="98" spans="1:4" x14ac:dyDescent="0.25">
      <c r="A98">
        <v>71573</v>
      </c>
      <c r="B98" s="1" t="s">
        <v>15</v>
      </c>
      <c r="C98" t="s">
        <v>77</v>
      </c>
      <c r="D98" s="1"/>
    </row>
    <row r="99" spans="1:4" x14ac:dyDescent="0.25">
      <c r="A99">
        <v>71576</v>
      </c>
      <c r="B99" s="1" t="s">
        <v>15</v>
      </c>
      <c r="C99" t="s">
        <v>77</v>
      </c>
      <c r="D99" s="1"/>
    </row>
    <row r="100" spans="1:4" x14ac:dyDescent="0.25">
      <c r="A100">
        <v>71577</v>
      </c>
      <c r="B100" s="1" t="s">
        <v>15</v>
      </c>
      <c r="C100" t="s">
        <v>77</v>
      </c>
      <c r="D100" s="1"/>
    </row>
    <row r="101" spans="1:4" x14ac:dyDescent="0.25">
      <c r="A101">
        <v>71579</v>
      </c>
      <c r="B101" s="1" t="s">
        <v>15</v>
      </c>
      <c r="C101" t="s">
        <v>77</v>
      </c>
      <c r="D101" s="1"/>
    </row>
    <row r="102" spans="1:4" x14ac:dyDescent="0.25">
      <c r="A102">
        <v>71634</v>
      </c>
      <c r="B102" s="1" t="s">
        <v>14</v>
      </c>
      <c r="C102" t="s">
        <v>77</v>
      </c>
      <c r="D102" s="1"/>
    </row>
    <row r="103" spans="1:4" x14ac:dyDescent="0.25">
      <c r="A103">
        <v>71636</v>
      </c>
      <c r="B103" s="1" t="s">
        <v>14</v>
      </c>
      <c r="C103" t="s">
        <v>77</v>
      </c>
      <c r="D103" s="1"/>
    </row>
    <row r="104" spans="1:4" x14ac:dyDescent="0.25">
      <c r="A104">
        <v>71638</v>
      </c>
      <c r="B104" s="1" t="s">
        <v>14</v>
      </c>
      <c r="C104" t="s">
        <v>77</v>
      </c>
      <c r="D104" s="1"/>
    </row>
    <row r="105" spans="1:4" x14ac:dyDescent="0.25">
      <c r="A105">
        <v>71640</v>
      </c>
      <c r="B105" s="1" t="s">
        <v>14</v>
      </c>
      <c r="C105" t="s">
        <v>77</v>
      </c>
      <c r="D105" s="1"/>
    </row>
    <row r="106" spans="1:4" x14ac:dyDescent="0.25">
      <c r="A106">
        <v>71642</v>
      </c>
      <c r="B106" s="1" t="s">
        <v>14</v>
      </c>
      <c r="C106" t="s">
        <v>77</v>
      </c>
      <c r="D106" s="1"/>
    </row>
    <row r="107" spans="1:4" x14ac:dyDescent="0.25">
      <c r="A107">
        <v>71665</v>
      </c>
      <c r="B107" s="1" t="s">
        <v>23</v>
      </c>
      <c r="C107" t="s">
        <v>67</v>
      </c>
      <c r="D107" s="1"/>
    </row>
    <row r="108" spans="1:4" x14ac:dyDescent="0.25">
      <c r="A108">
        <v>71672</v>
      </c>
      <c r="B108" s="1" t="s">
        <v>13</v>
      </c>
      <c r="C108" t="s">
        <v>77</v>
      </c>
      <c r="D108" s="1"/>
    </row>
    <row r="109" spans="1:4" x14ac:dyDescent="0.25">
      <c r="A109">
        <v>71679</v>
      </c>
      <c r="B109" s="1" t="s">
        <v>14</v>
      </c>
      <c r="C109" t="s">
        <v>77</v>
      </c>
      <c r="D109" s="1"/>
    </row>
    <row r="110" spans="1:4" x14ac:dyDescent="0.25">
      <c r="A110">
        <v>71686</v>
      </c>
      <c r="B110" s="1" t="s">
        <v>5</v>
      </c>
      <c r="C110" t="s">
        <v>91</v>
      </c>
      <c r="D110" s="1"/>
    </row>
    <row r="111" spans="1:4" x14ac:dyDescent="0.25">
      <c r="A111">
        <v>71691</v>
      </c>
      <c r="B111" s="1" t="s">
        <v>13</v>
      </c>
      <c r="C111" t="s">
        <v>77</v>
      </c>
      <c r="D111" s="1"/>
    </row>
    <row r="112" spans="1:4" x14ac:dyDescent="0.25">
      <c r="A112">
        <v>71696</v>
      </c>
      <c r="B112" s="1" t="s">
        <v>14</v>
      </c>
      <c r="C112" t="s">
        <v>77</v>
      </c>
      <c r="D112" s="1"/>
    </row>
    <row r="113" spans="1:4" x14ac:dyDescent="0.25">
      <c r="A113">
        <v>71701</v>
      </c>
      <c r="B113" s="1" t="s">
        <v>14</v>
      </c>
      <c r="C113" t="s">
        <v>77</v>
      </c>
      <c r="D113" s="1"/>
    </row>
    <row r="114" spans="1:4" x14ac:dyDescent="0.25">
      <c r="A114">
        <v>71706</v>
      </c>
      <c r="B114" s="1" t="s">
        <v>14</v>
      </c>
      <c r="C114" t="s">
        <v>77</v>
      </c>
      <c r="D114" s="1"/>
    </row>
    <row r="115" spans="1:4" x14ac:dyDescent="0.25">
      <c r="A115">
        <v>71711</v>
      </c>
      <c r="B115" s="1" t="s">
        <v>15</v>
      </c>
      <c r="C115" t="s">
        <v>77</v>
      </c>
      <c r="D115" s="1"/>
    </row>
    <row r="116" spans="1:4" x14ac:dyDescent="0.25">
      <c r="A116">
        <v>71717</v>
      </c>
      <c r="B116" s="1" t="s">
        <v>18</v>
      </c>
      <c r="C116" t="s">
        <v>79</v>
      </c>
      <c r="D116" s="1"/>
    </row>
    <row r="117" spans="1:4" x14ac:dyDescent="0.25">
      <c r="A117">
        <v>71720</v>
      </c>
      <c r="B117" s="1" t="s">
        <v>18</v>
      </c>
      <c r="C117" t="s">
        <v>79</v>
      </c>
      <c r="D117" s="1"/>
    </row>
    <row r="118" spans="1:4" x14ac:dyDescent="0.25">
      <c r="A118">
        <v>71723</v>
      </c>
      <c r="B118" s="1" t="s">
        <v>18</v>
      </c>
      <c r="C118" t="s">
        <v>79</v>
      </c>
      <c r="D118" s="1"/>
    </row>
    <row r="119" spans="1:4" x14ac:dyDescent="0.25">
      <c r="A119">
        <v>71726</v>
      </c>
      <c r="B119" s="1" t="s">
        <v>13</v>
      </c>
      <c r="C119" t="s">
        <v>77</v>
      </c>
      <c r="D119" s="1"/>
    </row>
    <row r="120" spans="1:4" x14ac:dyDescent="0.25">
      <c r="A120">
        <v>71729</v>
      </c>
      <c r="B120" s="1" t="s">
        <v>13</v>
      </c>
      <c r="C120" t="s">
        <v>77</v>
      </c>
      <c r="D120" s="1"/>
    </row>
    <row r="121" spans="1:4" x14ac:dyDescent="0.25">
      <c r="A121">
        <v>71732</v>
      </c>
      <c r="B121" s="1" t="s">
        <v>13</v>
      </c>
      <c r="C121" t="s">
        <v>77</v>
      </c>
      <c r="D121" s="1"/>
    </row>
    <row r="122" spans="1:4" x14ac:dyDescent="0.25">
      <c r="A122">
        <v>71735</v>
      </c>
      <c r="B122" s="1" t="s">
        <v>23</v>
      </c>
      <c r="C122" t="s">
        <v>67</v>
      </c>
      <c r="D122" s="1"/>
    </row>
    <row r="123" spans="1:4" x14ac:dyDescent="0.25">
      <c r="A123">
        <v>71737</v>
      </c>
      <c r="B123" s="1" t="s">
        <v>15</v>
      </c>
      <c r="C123" t="s">
        <v>77</v>
      </c>
      <c r="D123" s="1"/>
    </row>
    <row r="124" spans="1:4" x14ac:dyDescent="0.25">
      <c r="A124">
        <v>71739</v>
      </c>
      <c r="B124" s="1" t="s">
        <v>14</v>
      </c>
      <c r="C124" t="s">
        <v>77</v>
      </c>
      <c r="D124" s="1"/>
    </row>
    <row r="125" spans="1:4" x14ac:dyDescent="0.25">
      <c r="A125">
        <v>72070</v>
      </c>
      <c r="B125" s="1" t="s">
        <v>10</v>
      </c>
      <c r="C125" t="s">
        <v>62</v>
      </c>
      <c r="D125" s="1"/>
    </row>
    <row r="126" spans="1:4" x14ac:dyDescent="0.25">
      <c r="A126">
        <v>72072</v>
      </c>
      <c r="B126" s="1" t="s">
        <v>10</v>
      </c>
      <c r="C126" t="s">
        <v>62</v>
      </c>
      <c r="D126" s="1"/>
    </row>
    <row r="127" spans="1:4" x14ac:dyDescent="0.25">
      <c r="A127">
        <v>72074</v>
      </c>
      <c r="B127" s="1" t="s">
        <v>10</v>
      </c>
      <c r="C127" t="s">
        <v>62</v>
      </c>
      <c r="D127" s="1"/>
    </row>
    <row r="128" spans="1:4" x14ac:dyDescent="0.25">
      <c r="A128">
        <v>72076</v>
      </c>
      <c r="B128" s="1" t="s">
        <v>10</v>
      </c>
      <c r="C128" t="s">
        <v>62</v>
      </c>
      <c r="D128" s="1"/>
    </row>
    <row r="129" spans="1:4" x14ac:dyDescent="0.25">
      <c r="A129">
        <v>72108</v>
      </c>
      <c r="B129" s="1" t="s">
        <v>10</v>
      </c>
      <c r="C129" t="s">
        <v>62</v>
      </c>
      <c r="D129" s="1"/>
    </row>
    <row r="130" spans="1:4" x14ac:dyDescent="0.25">
      <c r="A130">
        <v>72116</v>
      </c>
      <c r="B130" s="1" t="s">
        <v>10</v>
      </c>
      <c r="C130" t="s">
        <v>62</v>
      </c>
      <c r="D130" s="1"/>
    </row>
    <row r="131" spans="1:4" x14ac:dyDescent="0.25">
      <c r="A131">
        <v>72119</v>
      </c>
      <c r="B131" s="1" t="s">
        <v>16</v>
      </c>
      <c r="C131" t="s">
        <v>91</v>
      </c>
      <c r="D131" s="1"/>
    </row>
    <row r="132" spans="1:4" x14ac:dyDescent="0.25">
      <c r="A132">
        <v>72124</v>
      </c>
      <c r="B132" s="1" t="s">
        <v>11</v>
      </c>
      <c r="C132" t="s">
        <v>62</v>
      </c>
      <c r="D132" s="1"/>
    </row>
    <row r="133" spans="1:4" x14ac:dyDescent="0.25">
      <c r="A133">
        <v>72127</v>
      </c>
      <c r="B133" s="1" t="s">
        <v>11</v>
      </c>
      <c r="C133" t="s">
        <v>62</v>
      </c>
      <c r="D133" s="1"/>
    </row>
    <row r="134" spans="1:4" x14ac:dyDescent="0.25">
      <c r="A134">
        <v>72131</v>
      </c>
      <c r="B134" s="1" t="s">
        <v>10</v>
      </c>
      <c r="C134" t="s">
        <v>62</v>
      </c>
      <c r="D134" s="1"/>
    </row>
    <row r="135" spans="1:4" x14ac:dyDescent="0.25">
      <c r="A135">
        <v>72135</v>
      </c>
      <c r="B135" s="1" t="s">
        <v>17</v>
      </c>
      <c r="C135" t="s">
        <v>91</v>
      </c>
      <c r="D135" s="1"/>
    </row>
    <row r="136" spans="1:4" x14ac:dyDescent="0.25">
      <c r="A136">
        <v>72138</v>
      </c>
      <c r="B136" s="1" t="s">
        <v>11</v>
      </c>
      <c r="C136" t="s">
        <v>62</v>
      </c>
      <c r="D136" s="1"/>
    </row>
    <row r="137" spans="1:4" x14ac:dyDescent="0.25">
      <c r="A137">
        <v>72141</v>
      </c>
      <c r="B137" s="1" t="s">
        <v>19</v>
      </c>
      <c r="C137" t="s">
        <v>62</v>
      </c>
      <c r="D137" s="1"/>
    </row>
    <row r="138" spans="1:4" x14ac:dyDescent="0.25">
      <c r="A138">
        <v>72144</v>
      </c>
      <c r="B138" s="1" t="s">
        <v>10</v>
      </c>
      <c r="C138" t="s">
        <v>62</v>
      </c>
      <c r="D138" s="1"/>
    </row>
    <row r="139" spans="1:4" x14ac:dyDescent="0.25">
      <c r="A139">
        <v>72147</v>
      </c>
      <c r="B139" s="1" t="s">
        <v>10</v>
      </c>
      <c r="C139" t="s">
        <v>62</v>
      </c>
      <c r="D139" s="1"/>
    </row>
    <row r="140" spans="1:4" x14ac:dyDescent="0.25">
      <c r="A140">
        <v>72149</v>
      </c>
      <c r="B140" s="1" t="s">
        <v>10</v>
      </c>
      <c r="C140" t="s">
        <v>62</v>
      </c>
      <c r="D140" s="1"/>
    </row>
    <row r="141" spans="1:4" x14ac:dyDescent="0.25">
      <c r="A141">
        <v>72202</v>
      </c>
      <c r="B141" s="1" t="s">
        <v>26</v>
      </c>
      <c r="C141" t="s">
        <v>91</v>
      </c>
      <c r="D141" s="1"/>
    </row>
    <row r="142" spans="1:4" x14ac:dyDescent="0.25">
      <c r="A142">
        <v>72213</v>
      </c>
      <c r="B142" s="1" t="s">
        <v>26</v>
      </c>
      <c r="C142" t="s">
        <v>91</v>
      </c>
      <c r="D142" s="1"/>
    </row>
    <row r="143" spans="1:4" x14ac:dyDescent="0.25">
      <c r="A143">
        <v>72218</v>
      </c>
      <c r="B143" s="1" t="s">
        <v>26</v>
      </c>
      <c r="C143" t="s">
        <v>91</v>
      </c>
      <c r="D143" s="1"/>
    </row>
    <row r="144" spans="1:4" x14ac:dyDescent="0.25">
      <c r="A144">
        <v>72221</v>
      </c>
      <c r="B144" s="1" t="s">
        <v>26</v>
      </c>
      <c r="C144" t="s">
        <v>91</v>
      </c>
      <c r="D144" s="1"/>
    </row>
    <row r="145" spans="1:4" x14ac:dyDescent="0.25">
      <c r="A145">
        <v>72224</v>
      </c>
      <c r="B145" s="1" t="s">
        <v>26</v>
      </c>
      <c r="C145" t="s">
        <v>91</v>
      </c>
      <c r="D145" s="1"/>
    </row>
    <row r="146" spans="1:4" x14ac:dyDescent="0.25">
      <c r="A146">
        <v>72226</v>
      </c>
      <c r="B146" s="1" t="s">
        <v>27</v>
      </c>
      <c r="C146" t="s">
        <v>91</v>
      </c>
      <c r="D146" s="1"/>
    </row>
    <row r="147" spans="1:4" x14ac:dyDescent="0.25">
      <c r="A147">
        <v>72227</v>
      </c>
      <c r="B147" s="1" t="s">
        <v>26</v>
      </c>
      <c r="C147" t="s">
        <v>91</v>
      </c>
      <c r="D147" s="1"/>
    </row>
    <row r="148" spans="1:4" x14ac:dyDescent="0.25">
      <c r="A148">
        <v>72229</v>
      </c>
      <c r="B148" s="1" t="s">
        <v>26</v>
      </c>
      <c r="C148" t="s">
        <v>91</v>
      </c>
      <c r="D148" s="1"/>
    </row>
    <row r="149" spans="1:4" x14ac:dyDescent="0.25">
      <c r="A149">
        <v>72555</v>
      </c>
      <c r="B149" s="1" t="s">
        <v>12</v>
      </c>
      <c r="C149" t="s">
        <v>62</v>
      </c>
      <c r="D149" s="1"/>
    </row>
    <row r="150" spans="1:4" x14ac:dyDescent="0.25">
      <c r="A150">
        <v>72574</v>
      </c>
      <c r="B150" s="1" t="s">
        <v>12</v>
      </c>
      <c r="C150" t="s">
        <v>62</v>
      </c>
      <c r="D150" s="1"/>
    </row>
    <row r="151" spans="1:4" x14ac:dyDescent="0.25">
      <c r="A151">
        <v>72581</v>
      </c>
      <c r="B151" s="1" t="s">
        <v>12</v>
      </c>
      <c r="C151" t="s">
        <v>62</v>
      </c>
      <c r="D151" s="1"/>
    </row>
    <row r="152" spans="1:4" x14ac:dyDescent="0.25">
      <c r="A152">
        <v>72585</v>
      </c>
      <c r="B152" s="1" t="s">
        <v>12</v>
      </c>
      <c r="C152" t="s">
        <v>62</v>
      </c>
      <c r="D152" s="1"/>
    </row>
    <row r="153" spans="1:4" x14ac:dyDescent="0.25">
      <c r="A153">
        <v>72622</v>
      </c>
      <c r="B153" s="1" t="s">
        <v>7</v>
      </c>
      <c r="C153" t="s">
        <v>64</v>
      </c>
      <c r="D153" s="1"/>
    </row>
    <row r="154" spans="1:4" x14ac:dyDescent="0.25">
      <c r="A154">
        <v>72631</v>
      </c>
      <c r="B154" s="1" t="s">
        <v>19</v>
      </c>
      <c r="C154" t="s">
        <v>62</v>
      </c>
      <c r="D154" s="1"/>
    </row>
    <row r="155" spans="1:4" x14ac:dyDescent="0.25">
      <c r="A155">
        <v>72636</v>
      </c>
      <c r="B155" s="1" t="s">
        <v>7</v>
      </c>
      <c r="C155" t="s">
        <v>64</v>
      </c>
      <c r="D155" s="1"/>
    </row>
    <row r="156" spans="1:4" x14ac:dyDescent="0.25">
      <c r="A156">
        <v>72644</v>
      </c>
      <c r="B156" s="1" t="s">
        <v>6</v>
      </c>
      <c r="C156" t="s">
        <v>64</v>
      </c>
      <c r="D156" s="1"/>
    </row>
    <row r="157" spans="1:4" x14ac:dyDescent="0.25">
      <c r="A157">
        <v>72649</v>
      </c>
      <c r="B157" s="1" t="s">
        <v>7</v>
      </c>
      <c r="C157" t="s">
        <v>64</v>
      </c>
      <c r="D157" s="1"/>
    </row>
    <row r="158" spans="1:4" x14ac:dyDescent="0.25">
      <c r="A158">
        <v>72654</v>
      </c>
      <c r="B158" s="1" t="s">
        <v>12</v>
      </c>
      <c r="C158" t="s">
        <v>62</v>
      </c>
      <c r="D158" s="1"/>
    </row>
    <row r="159" spans="1:4" x14ac:dyDescent="0.25">
      <c r="A159">
        <v>72655</v>
      </c>
      <c r="B159" s="1" t="s">
        <v>7</v>
      </c>
      <c r="C159" t="s">
        <v>64</v>
      </c>
      <c r="D159" s="1"/>
    </row>
    <row r="160" spans="1:4" x14ac:dyDescent="0.25">
      <c r="A160">
        <v>72657</v>
      </c>
      <c r="B160" s="1" t="s">
        <v>12</v>
      </c>
      <c r="C160" t="s">
        <v>62</v>
      </c>
      <c r="D160" s="1"/>
    </row>
    <row r="161" spans="1:4" x14ac:dyDescent="0.25">
      <c r="A161">
        <v>72658</v>
      </c>
      <c r="B161" s="1" t="s">
        <v>12</v>
      </c>
      <c r="C161" t="s">
        <v>62</v>
      </c>
      <c r="D161" s="1"/>
    </row>
    <row r="162" spans="1:4" x14ac:dyDescent="0.25">
      <c r="A162">
        <v>72660</v>
      </c>
      <c r="B162" s="1" t="s">
        <v>7</v>
      </c>
      <c r="C162" t="s">
        <v>64</v>
      </c>
      <c r="D162" s="1"/>
    </row>
    <row r="163" spans="1:4" x14ac:dyDescent="0.25">
      <c r="A163">
        <v>72661</v>
      </c>
      <c r="B163" s="1" t="s">
        <v>12</v>
      </c>
      <c r="C163" t="s">
        <v>62</v>
      </c>
      <c r="D163" s="1"/>
    </row>
    <row r="164" spans="1:4" x14ac:dyDescent="0.25">
      <c r="A164">
        <v>72663</v>
      </c>
      <c r="B164" s="1" t="s">
        <v>7</v>
      </c>
      <c r="C164" t="s">
        <v>64</v>
      </c>
      <c r="D164" s="1"/>
    </row>
    <row r="165" spans="1:4" x14ac:dyDescent="0.25">
      <c r="A165">
        <v>72664</v>
      </c>
      <c r="B165" s="1" t="s">
        <v>12</v>
      </c>
      <c r="C165" t="s">
        <v>62</v>
      </c>
      <c r="D165" s="1"/>
    </row>
    <row r="166" spans="1:4" x14ac:dyDescent="0.25">
      <c r="A166">
        <v>72666</v>
      </c>
      <c r="B166" s="1" t="s">
        <v>7</v>
      </c>
      <c r="C166" t="s">
        <v>64</v>
      </c>
      <c r="D166" s="1"/>
    </row>
    <row r="167" spans="1:4" x14ac:dyDescent="0.25">
      <c r="A167">
        <v>72667</v>
      </c>
      <c r="B167" s="1" t="s">
        <v>12</v>
      </c>
      <c r="C167" t="s">
        <v>62</v>
      </c>
      <c r="D167" s="1"/>
    </row>
    <row r="168" spans="1:4" x14ac:dyDescent="0.25">
      <c r="A168">
        <v>72669</v>
      </c>
      <c r="B168" s="1" t="s">
        <v>6</v>
      </c>
      <c r="C168" t="s">
        <v>64</v>
      </c>
      <c r="D168" s="1"/>
    </row>
    <row r="169" spans="1:4" x14ac:dyDescent="0.25">
      <c r="A169">
        <v>72760</v>
      </c>
      <c r="B169" s="1" t="s">
        <v>11</v>
      </c>
      <c r="C169" t="s">
        <v>62</v>
      </c>
      <c r="D169" s="1"/>
    </row>
    <row r="170" spans="1:4" x14ac:dyDescent="0.25">
      <c r="A170">
        <v>72762</v>
      </c>
      <c r="B170" s="1" t="s">
        <v>11</v>
      </c>
      <c r="C170" t="s">
        <v>62</v>
      </c>
      <c r="D170" s="1"/>
    </row>
    <row r="171" spans="1:4" x14ac:dyDescent="0.25">
      <c r="A171">
        <v>72764</v>
      </c>
      <c r="B171" s="1" t="s">
        <v>11</v>
      </c>
      <c r="C171" t="s">
        <v>62</v>
      </c>
      <c r="D171" s="1"/>
    </row>
    <row r="172" spans="1:4" x14ac:dyDescent="0.25">
      <c r="A172">
        <v>72766</v>
      </c>
      <c r="B172" s="1" t="s">
        <v>12</v>
      </c>
      <c r="C172" t="s">
        <v>62</v>
      </c>
      <c r="D172" s="1"/>
    </row>
    <row r="173" spans="1:4" x14ac:dyDescent="0.25">
      <c r="A173">
        <v>72768</v>
      </c>
      <c r="B173" s="1" t="s">
        <v>11</v>
      </c>
      <c r="C173" t="s">
        <v>62</v>
      </c>
      <c r="D173" s="1"/>
    </row>
    <row r="174" spans="1:4" x14ac:dyDescent="0.25">
      <c r="A174">
        <v>72770</v>
      </c>
      <c r="B174" s="1" t="s">
        <v>11</v>
      </c>
      <c r="C174" t="s">
        <v>62</v>
      </c>
      <c r="D174" s="1"/>
    </row>
    <row r="175" spans="1:4" x14ac:dyDescent="0.25">
      <c r="A175">
        <v>72793</v>
      </c>
      <c r="B175" s="1" t="s">
        <v>11</v>
      </c>
      <c r="C175" t="s">
        <v>62</v>
      </c>
      <c r="D175" s="1"/>
    </row>
    <row r="176" spans="1:4" x14ac:dyDescent="0.25">
      <c r="A176">
        <v>72800</v>
      </c>
      <c r="B176" s="1" t="s">
        <v>12</v>
      </c>
      <c r="C176" t="s">
        <v>62</v>
      </c>
      <c r="D176" s="1"/>
    </row>
    <row r="177" spans="1:4" x14ac:dyDescent="0.25">
      <c r="A177">
        <v>72805</v>
      </c>
      <c r="B177" s="1" t="s">
        <v>11</v>
      </c>
      <c r="C177" t="s">
        <v>62</v>
      </c>
      <c r="D177" s="1"/>
    </row>
    <row r="178" spans="1:4" x14ac:dyDescent="0.25">
      <c r="A178">
        <v>72810</v>
      </c>
      <c r="B178" s="1" t="s">
        <v>10</v>
      </c>
      <c r="C178" t="s">
        <v>62</v>
      </c>
      <c r="D178" s="1"/>
    </row>
    <row r="179" spans="1:4" x14ac:dyDescent="0.25">
      <c r="A179">
        <v>72827</v>
      </c>
      <c r="B179" s="1" t="s">
        <v>11</v>
      </c>
      <c r="C179" t="s">
        <v>62</v>
      </c>
      <c r="D179" s="1"/>
    </row>
    <row r="180" spans="1:4" x14ac:dyDescent="0.25">
      <c r="A180">
        <v>73061</v>
      </c>
      <c r="B180" s="1" t="s">
        <v>25</v>
      </c>
      <c r="C180" t="s">
        <v>93</v>
      </c>
      <c r="D180" s="1"/>
    </row>
    <row r="181" spans="1:4" x14ac:dyDescent="0.25">
      <c r="A181">
        <v>73207</v>
      </c>
      <c r="B181" s="1" t="s">
        <v>25</v>
      </c>
      <c r="C181" t="s">
        <v>93</v>
      </c>
      <c r="D181" s="1"/>
    </row>
    <row r="182" spans="1:4" x14ac:dyDescent="0.25">
      <c r="A182">
        <v>73240</v>
      </c>
      <c r="B182" s="1" t="s">
        <v>6</v>
      </c>
      <c r="C182" t="s">
        <v>64</v>
      </c>
      <c r="D182" s="1"/>
    </row>
    <row r="183" spans="1:4" x14ac:dyDescent="0.25">
      <c r="A183">
        <v>73249</v>
      </c>
      <c r="B183" s="1" t="s">
        <v>6</v>
      </c>
      <c r="C183" t="s">
        <v>64</v>
      </c>
      <c r="D183" s="1"/>
    </row>
    <row r="184" spans="1:4" x14ac:dyDescent="0.25">
      <c r="A184">
        <v>73257</v>
      </c>
      <c r="B184" s="1" t="s">
        <v>6</v>
      </c>
      <c r="C184" t="s">
        <v>64</v>
      </c>
      <c r="D184" s="1"/>
    </row>
    <row r="185" spans="1:4" x14ac:dyDescent="0.25">
      <c r="A185">
        <v>73262</v>
      </c>
      <c r="B185" s="1" t="s">
        <v>25</v>
      </c>
      <c r="C185" t="s">
        <v>93</v>
      </c>
      <c r="D185" s="1"/>
    </row>
    <row r="186" spans="1:4" x14ac:dyDescent="0.25">
      <c r="A186">
        <v>73614</v>
      </c>
      <c r="B186" s="1" t="s">
        <v>24</v>
      </c>
      <c r="C186" t="s">
        <v>92</v>
      </c>
      <c r="D186" s="1"/>
    </row>
    <row r="187" spans="1:4" x14ac:dyDescent="0.25">
      <c r="A187">
        <v>73630</v>
      </c>
      <c r="B187" s="1" t="s">
        <v>24</v>
      </c>
      <c r="C187" t="s">
        <v>92</v>
      </c>
      <c r="D187" s="1"/>
    </row>
    <row r="188" spans="1:4" x14ac:dyDescent="0.25">
      <c r="A188">
        <v>73635</v>
      </c>
      <c r="B188" s="1" t="s">
        <v>4</v>
      </c>
      <c r="C188" t="s">
        <v>91</v>
      </c>
      <c r="D188" s="1"/>
    </row>
    <row r="189" spans="1:4" x14ac:dyDescent="0.25">
      <c r="A189">
        <v>73642</v>
      </c>
      <c r="B189" s="1" t="s">
        <v>4</v>
      </c>
      <c r="C189" t="s">
        <v>91</v>
      </c>
      <c r="D189" s="1"/>
    </row>
    <row r="190" spans="1:4" x14ac:dyDescent="0.25">
      <c r="A190">
        <v>73650</v>
      </c>
      <c r="B190" s="1" t="s">
        <v>24</v>
      </c>
      <c r="C190" t="s">
        <v>92</v>
      </c>
      <c r="D190" s="1"/>
    </row>
    <row r="191" spans="1:4" x14ac:dyDescent="0.25">
      <c r="A191">
        <v>73663</v>
      </c>
      <c r="B191" s="1" t="s">
        <v>4</v>
      </c>
      <c r="C191" t="s">
        <v>91</v>
      </c>
      <c r="D191" s="1"/>
    </row>
    <row r="192" spans="1:4" x14ac:dyDescent="0.25">
      <c r="A192">
        <v>73666</v>
      </c>
      <c r="B192" s="1" t="s">
        <v>24</v>
      </c>
      <c r="C192" t="s">
        <v>92</v>
      </c>
      <c r="D192" s="1"/>
    </row>
    <row r="193" spans="1:4" x14ac:dyDescent="0.25">
      <c r="A193">
        <v>73667</v>
      </c>
      <c r="B193" s="1" t="s">
        <v>4</v>
      </c>
      <c r="C193" t="s">
        <v>91</v>
      </c>
      <c r="D193" s="1"/>
    </row>
    <row r="194" spans="1:4" x14ac:dyDescent="0.25">
      <c r="A194">
        <v>73669</v>
      </c>
      <c r="B194" s="1" t="s">
        <v>24</v>
      </c>
      <c r="C194" t="s">
        <v>92</v>
      </c>
      <c r="D194" s="1"/>
    </row>
    <row r="195" spans="1:4" x14ac:dyDescent="0.25">
      <c r="A195">
        <v>73728</v>
      </c>
      <c r="B195" s="1" t="s">
        <v>25</v>
      </c>
      <c r="C195" t="s">
        <v>93</v>
      </c>
      <c r="D195" s="1"/>
    </row>
    <row r="196" spans="1:4" x14ac:dyDescent="0.25">
      <c r="A196">
        <v>73730</v>
      </c>
      <c r="B196" s="1" t="s">
        <v>25</v>
      </c>
      <c r="C196" t="s">
        <v>93</v>
      </c>
      <c r="D196" s="1"/>
    </row>
    <row r="197" spans="1:4" x14ac:dyDescent="0.25">
      <c r="A197">
        <v>73732</v>
      </c>
      <c r="B197" s="1" t="s">
        <v>25</v>
      </c>
      <c r="C197" t="s">
        <v>93</v>
      </c>
      <c r="D197" s="1"/>
    </row>
    <row r="198" spans="1:4" x14ac:dyDescent="0.25">
      <c r="A198">
        <v>73733</v>
      </c>
      <c r="B198" s="1" t="s">
        <v>25</v>
      </c>
      <c r="C198" t="s">
        <v>93</v>
      </c>
      <c r="D198" s="1"/>
    </row>
    <row r="199" spans="1:4" x14ac:dyDescent="0.25">
      <c r="A199">
        <v>73734</v>
      </c>
      <c r="B199" s="1" t="s">
        <v>25</v>
      </c>
      <c r="C199" t="s">
        <v>93</v>
      </c>
      <c r="D199" s="1"/>
    </row>
    <row r="200" spans="1:4" x14ac:dyDescent="0.25">
      <c r="A200">
        <v>73760</v>
      </c>
      <c r="B200" s="1" t="s">
        <v>6</v>
      </c>
      <c r="C200" t="s">
        <v>64</v>
      </c>
      <c r="D200" s="1"/>
    </row>
    <row r="201" spans="1:4" x14ac:dyDescent="0.25">
      <c r="A201">
        <v>73765</v>
      </c>
      <c r="B201" s="1" t="s">
        <v>6</v>
      </c>
      <c r="C201" t="s">
        <v>64</v>
      </c>
      <c r="D201" s="1"/>
    </row>
    <row r="202" spans="1:4" x14ac:dyDescent="0.25">
      <c r="A202">
        <v>73770</v>
      </c>
      <c r="B202" s="1" t="s">
        <v>6</v>
      </c>
      <c r="C202" t="s">
        <v>64</v>
      </c>
      <c r="D202" s="1"/>
    </row>
    <row r="203" spans="1:4" x14ac:dyDescent="0.25">
      <c r="A203">
        <v>73773</v>
      </c>
      <c r="B203" s="1" t="s">
        <v>25</v>
      </c>
      <c r="C203" t="s">
        <v>93</v>
      </c>
      <c r="D203" s="1"/>
    </row>
    <row r="204" spans="1:4" x14ac:dyDescent="0.25">
      <c r="A204">
        <v>73776</v>
      </c>
      <c r="B204" s="1" t="s">
        <v>25</v>
      </c>
      <c r="C204" t="s">
        <v>93</v>
      </c>
      <c r="D204" s="1"/>
    </row>
    <row r="205" spans="1:4" x14ac:dyDescent="0.25">
      <c r="A205">
        <v>73779</v>
      </c>
      <c r="B205" s="1" t="s">
        <v>25</v>
      </c>
      <c r="C205" t="s">
        <v>93</v>
      </c>
      <c r="D205" s="1"/>
    </row>
    <row r="206" spans="1:4" x14ac:dyDescent="0.25">
      <c r="A206">
        <v>74072</v>
      </c>
      <c r="B206" s="1" t="s">
        <v>30</v>
      </c>
      <c r="C206" t="s">
        <v>79</v>
      </c>
      <c r="D206" s="1"/>
    </row>
    <row r="207" spans="1:4" x14ac:dyDescent="0.25">
      <c r="A207">
        <v>74074</v>
      </c>
      <c r="B207" s="1" t="s">
        <v>30</v>
      </c>
      <c r="C207" t="s">
        <v>79</v>
      </c>
      <c r="D207" s="1"/>
    </row>
    <row r="208" spans="1:4" x14ac:dyDescent="0.25">
      <c r="A208">
        <v>74076</v>
      </c>
      <c r="B208" s="1" t="s">
        <v>30</v>
      </c>
      <c r="C208" t="s">
        <v>79</v>
      </c>
      <c r="D208" s="1"/>
    </row>
    <row r="209" spans="1:4" x14ac:dyDescent="0.25">
      <c r="A209">
        <v>74078</v>
      </c>
      <c r="B209" s="1" t="s">
        <v>30</v>
      </c>
      <c r="C209" t="s">
        <v>79</v>
      </c>
      <c r="D209" s="1"/>
    </row>
    <row r="210" spans="1:4" x14ac:dyDescent="0.25">
      <c r="A210">
        <v>74080</v>
      </c>
      <c r="B210" s="1" t="s">
        <v>30</v>
      </c>
      <c r="C210" t="s">
        <v>79</v>
      </c>
      <c r="D210" s="1"/>
    </row>
    <row r="211" spans="1:4" x14ac:dyDescent="0.25">
      <c r="A211">
        <v>74081</v>
      </c>
      <c r="B211" s="1" t="s">
        <v>30</v>
      </c>
      <c r="C211" t="s">
        <v>79</v>
      </c>
      <c r="D211" s="1"/>
    </row>
    <row r="212" spans="1:4" x14ac:dyDescent="0.25">
      <c r="A212">
        <v>74172</v>
      </c>
      <c r="B212" s="1" t="s">
        <v>29</v>
      </c>
      <c r="C212" t="s">
        <v>79</v>
      </c>
      <c r="D212" s="1"/>
    </row>
    <row r="213" spans="1:4" x14ac:dyDescent="0.25">
      <c r="A213">
        <v>74177</v>
      </c>
      <c r="B213" s="1" t="s">
        <v>29</v>
      </c>
      <c r="C213" t="s">
        <v>79</v>
      </c>
      <c r="D213" s="1"/>
    </row>
    <row r="214" spans="1:4" x14ac:dyDescent="0.25">
      <c r="A214">
        <v>74182</v>
      </c>
      <c r="B214" s="1" t="s">
        <v>18</v>
      </c>
      <c r="C214" t="s">
        <v>79</v>
      </c>
      <c r="D214" s="1"/>
    </row>
    <row r="215" spans="1:4" x14ac:dyDescent="0.25">
      <c r="A215">
        <v>74189</v>
      </c>
      <c r="B215" s="1" t="s">
        <v>18</v>
      </c>
      <c r="C215" t="s">
        <v>79</v>
      </c>
      <c r="D215" s="1"/>
    </row>
    <row r="216" spans="1:4" x14ac:dyDescent="0.25">
      <c r="A216">
        <v>74193</v>
      </c>
      <c r="B216" s="1" t="s">
        <v>30</v>
      </c>
      <c r="C216" t="s">
        <v>79</v>
      </c>
      <c r="D216" s="1"/>
    </row>
    <row r="217" spans="1:4" x14ac:dyDescent="0.25">
      <c r="A217">
        <v>74196</v>
      </c>
      <c r="B217" s="1" t="s">
        <v>29</v>
      </c>
      <c r="C217" t="s">
        <v>79</v>
      </c>
      <c r="D217" s="1"/>
    </row>
    <row r="218" spans="1:4" x14ac:dyDescent="0.25">
      <c r="A218">
        <v>74199</v>
      </c>
      <c r="B218" s="1" t="s">
        <v>18</v>
      </c>
      <c r="C218" t="s">
        <v>79</v>
      </c>
      <c r="D218" s="1"/>
    </row>
    <row r="219" spans="1:4" x14ac:dyDescent="0.25">
      <c r="A219">
        <v>74206</v>
      </c>
      <c r="B219" s="1" t="s">
        <v>29</v>
      </c>
      <c r="C219" t="s">
        <v>79</v>
      </c>
      <c r="D219" s="1"/>
    </row>
    <row r="220" spans="1:4" x14ac:dyDescent="0.25">
      <c r="A220">
        <v>74211</v>
      </c>
      <c r="B220" s="1" t="s">
        <v>30</v>
      </c>
      <c r="C220" t="s">
        <v>79</v>
      </c>
      <c r="D220" s="1"/>
    </row>
    <row r="221" spans="1:4" x14ac:dyDescent="0.25">
      <c r="A221">
        <v>74223</v>
      </c>
      <c r="B221" s="1" t="s">
        <v>18</v>
      </c>
      <c r="C221" t="s">
        <v>79</v>
      </c>
      <c r="D221" s="1"/>
    </row>
    <row r="222" spans="1:4" x14ac:dyDescent="0.25">
      <c r="A222">
        <v>74226</v>
      </c>
      <c r="B222" s="1" t="s">
        <v>30</v>
      </c>
      <c r="C222" t="s">
        <v>79</v>
      </c>
      <c r="D222" s="1"/>
    </row>
    <row r="223" spans="1:4" x14ac:dyDescent="0.25">
      <c r="A223">
        <v>74229</v>
      </c>
      <c r="B223" s="1" t="s">
        <v>29</v>
      </c>
      <c r="C223" t="s">
        <v>79</v>
      </c>
      <c r="D223" s="1"/>
    </row>
    <row r="224" spans="1:4" x14ac:dyDescent="0.25">
      <c r="A224">
        <v>74232</v>
      </c>
      <c r="B224" s="1" t="s">
        <v>18</v>
      </c>
      <c r="C224" t="s">
        <v>79</v>
      </c>
      <c r="D224" s="1"/>
    </row>
    <row r="225" spans="1:4" x14ac:dyDescent="0.25">
      <c r="A225">
        <v>74235</v>
      </c>
      <c r="B225" s="1" t="s">
        <v>29</v>
      </c>
      <c r="C225" t="s">
        <v>79</v>
      </c>
      <c r="D225" s="1"/>
    </row>
    <row r="226" spans="1:4" x14ac:dyDescent="0.25">
      <c r="A226">
        <v>74245</v>
      </c>
      <c r="B226" s="1" t="s">
        <v>18</v>
      </c>
      <c r="C226" t="s">
        <v>79</v>
      </c>
      <c r="D226" s="1"/>
    </row>
    <row r="227" spans="1:4" x14ac:dyDescent="0.25">
      <c r="A227">
        <v>74246</v>
      </c>
      <c r="B227" s="1" t="s">
        <v>29</v>
      </c>
      <c r="C227" t="s">
        <v>79</v>
      </c>
      <c r="D227" s="1"/>
    </row>
    <row r="228" spans="1:4" x14ac:dyDescent="0.25">
      <c r="A228">
        <v>74248</v>
      </c>
      <c r="B228" s="1" t="s">
        <v>18</v>
      </c>
      <c r="C228" t="s">
        <v>79</v>
      </c>
      <c r="D228" s="1"/>
    </row>
    <row r="229" spans="1:4" x14ac:dyDescent="0.25">
      <c r="A229">
        <v>74251</v>
      </c>
      <c r="B229" s="1" t="s">
        <v>18</v>
      </c>
      <c r="C229" t="s">
        <v>79</v>
      </c>
      <c r="D229" s="1"/>
    </row>
    <row r="230" spans="1:4" x14ac:dyDescent="0.25">
      <c r="A230">
        <v>74252</v>
      </c>
      <c r="B230" s="1" t="s">
        <v>30</v>
      </c>
      <c r="C230" t="s">
        <v>79</v>
      </c>
      <c r="D230" s="1"/>
    </row>
    <row r="231" spans="1:4" x14ac:dyDescent="0.25">
      <c r="A231">
        <v>74254</v>
      </c>
      <c r="B231" s="1" t="s">
        <v>29</v>
      </c>
      <c r="C231" t="s">
        <v>79</v>
      </c>
      <c r="D231" s="1"/>
    </row>
    <row r="232" spans="1:4" x14ac:dyDescent="0.25">
      <c r="A232">
        <v>74257</v>
      </c>
      <c r="B232" s="1" t="s">
        <v>29</v>
      </c>
      <c r="C232" t="s">
        <v>79</v>
      </c>
      <c r="D232" s="1"/>
    </row>
    <row r="233" spans="1:4" x14ac:dyDescent="0.25">
      <c r="A233">
        <v>74321</v>
      </c>
      <c r="B233" s="1" t="s">
        <v>13</v>
      </c>
      <c r="C233" t="s">
        <v>77</v>
      </c>
      <c r="D233" s="1"/>
    </row>
    <row r="234" spans="1:4" x14ac:dyDescent="0.25">
      <c r="A234">
        <v>74336</v>
      </c>
      <c r="B234" s="1" t="s">
        <v>28</v>
      </c>
      <c r="C234" t="s">
        <v>79</v>
      </c>
      <c r="D234" s="1"/>
    </row>
    <row r="235" spans="1:4" x14ac:dyDescent="0.25">
      <c r="A235">
        <v>74343</v>
      </c>
      <c r="B235" s="1" t="s">
        <v>28</v>
      </c>
      <c r="C235" t="s">
        <v>79</v>
      </c>
      <c r="D235" s="1"/>
    </row>
    <row r="236" spans="1:4" x14ac:dyDescent="0.25">
      <c r="A236">
        <v>74348</v>
      </c>
      <c r="B236" s="1" t="s">
        <v>18</v>
      </c>
      <c r="C236" t="s">
        <v>79</v>
      </c>
      <c r="D236" s="1"/>
    </row>
    <row r="237" spans="1:4" x14ac:dyDescent="0.25">
      <c r="A237">
        <v>74354</v>
      </c>
      <c r="B237" s="1" t="s">
        <v>28</v>
      </c>
      <c r="C237" t="s">
        <v>79</v>
      </c>
      <c r="D237" s="1"/>
    </row>
    <row r="238" spans="1:4" x14ac:dyDescent="0.25">
      <c r="A238">
        <v>74357</v>
      </c>
      <c r="B238" s="1" t="s">
        <v>28</v>
      </c>
      <c r="C238" t="s">
        <v>79</v>
      </c>
      <c r="D238" s="1"/>
    </row>
    <row r="239" spans="1:4" x14ac:dyDescent="0.25">
      <c r="A239">
        <v>74360</v>
      </c>
      <c r="B239" s="1" t="s">
        <v>18</v>
      </c>
      <c r="C239" t="s">
        <v>79</v>
      </c>
      <c r="D239" s="1"/>
    </row>
    <row r="240" spans="1:4" x14ac:dyDescent="0.25">
      <c r="A240">
        <v>74363</v>
      </c>
      <c r="B240" s="1" t="s">
        <v>28</v>
      </c>
      <c r="C240" t="s">
        <v>79</v>
      </c>
      <c r="D240" s="1"/>
    </row>
    <row r="241" spans="1:4" x14ac:dyDescent="0.25">
      <c r="A241">
        <v>74366</v>
      </c>
      <c r="B241" s="1" t="s">
        <v>28</v>
      </c>
      <c r="C241" t="s">
        <v>79</v>
      </c>
      <c r="D241" s="1"/>
    </row>
    <row r="242" spans="1:4" x14ac:dyDescent="0.25">
      <c r="A242">
        <v>74369</v>
      </c>
      <c r="B242" s="1" t="s">
        <v>28</v>
      </c>
      <c r="C242" t="s">
        <v>79</v>
      </c>
      <c r="D242" s="1"/>
    </row>
    <row r="243" spans="1:4" x14ac:dyDescent="0.25">
      <c r="A243">
        <v>74372</v>
      </c>
      <c r="B243" s="1" t="s">
        <v>28</v>
      </c>
      <c r="C243" t="s">
        <v>79</v>
      </c>
      <c r="D243" s="1"/>
    </row>
    <row r="244" spans="1:4" x14ac:dyDescent="0.25">
      <c r="A244">
        <v>74374</v>
      </c>
      <c r="B244" s="1" t="s">
        <v>28</v>
      </c>
      <c r="C244" t="s">
        <v>79</v>
      </c>
      <c r="D244" s="1"/>
    </row>
    <row r="245" spans="1:4" x14ac:dyDescent="0.25">
      <c r="A245">
        <v>74376</v>
      </c>
      <c r="B245" s="1" t="s">
        <v>28</v>
      </c>
      <c r="C245" t="s">
        <v>79</v>
      </c>
      <c r="D245" s="1"/>
    </row>
    <row r="246" spans="1:4" x14ac:dyDescent="0.25">
      <c r="A246">
        <v>74379</v>
      </c>
      <c r="B246" s="1" t="s">
        <v>13</v>
      </c>
      <c r="C246" t="s">
        <v>77</v>
      </c>
      <c r="D246" s="1"/>
    </row>
    <row r="247" spans="1:4" x14ac:dyDescent="0.25">
      <c r="A247">
        <v>74382</v>
      </c>
      <c r="B247" s="1" t="s">
        <v>28</v>
      </c>
      <c r="C247" t="s">
        <v>79</v>
      </c>
      <c r="D247" s="1"/>
    </row>
    <row r="248" spans="1:4" x14ac:dyDescent="0.25">
      <c r="A248">
        <v>74385</v>
      </c>
      <c r="B248" s="1" t="s">
        <v>13</v>
      </c>
      <c r="C248" t="s">
        <v>77</v>
      </c>
      <c r="D248" s="1"/>
    </row>
    <row r="249" spans="1:4" x14ac:dyDescent="0.25">
      <c r="A249">
        <v>74388</v>
      </c>
      <c r="B249" s="1" t="s">
        <v>18</v>
      </c>
      <c r="C249" t="s">
        <v>79</v>
      </c>
      <c r="D249" s="1"/>
    </row>
    <row r="250" spans="1:4" x14ac:dyDescent="0.25">
      <c r="A250">
        <v>74389</v>
      </c>
      <c r="B250" s="1" t="s">
        <v>28</v>
      </c>
      <c r="C250" t="s">
        <v>79</v>
      </c>
      <c r="D250" s="1"/>
    </row>
    <row r="251" spans="1:4" x14ac:dyDescent="0.25">
      <c r="A251">
        <v>74391</v>
      </c>
      <c r="B251" s="1" t="s">
        <v>28</v>
      </c>
      <c r="C251" t="s">
        <v>79</v>
      </c>
      <c r="D251" s="1"/>
    </row>
    <row r="252" spans="1:4" x14ac:dyDescent="0.25">
      <c r="A252">
        <v>74392</v>
      </c>
      <c r="B252" s="1" t="s">
        <v>28</v>
      </c>
      <c r="C252" t="s">
        <v>79</v>
      </c>
      <c r="D252" s="1"/>
    </row>
    <row r="253" spans="1:4" x14ac:dyDescent="0.25">
      <c r="A253">
        <v>74394</v>
      </c>
      <c r="B253" s="1" t="s">
        <v>13</v>
      </c>
      <c r="C253" t="s">
        <v>77</v>
      </c>
      <c r="D253" s="1"/>
    </row>
    <row r="254" spans="1:4" x14ac:dyDescent="0.25">
      <c r="A254">
        <v>74395</v>
      </c>
      <c r="B254" s="1" t="s">
        <v>13</v>
      </c>
      <c r="C254" t="s">
        <v>77</v>
      </c>
      <c r="D254" s="1"/>
    </row>
    <row r="255" spans="1:4" x14ac:dyDescent="0.25">
      <c r="A255">
        <v>74397</v>
      </c>
      <c r="B255" s="1" t="s">
        <v>28</v>
      </c>
      <c r="C255" t="s">
        <v>79</v>
      </c>
      <c r="D255" s="1"/>
    </row>
    <row r="256" spans="1:4" x14ac:dyDescent="0.25">
      <c r="A256">
        <v>74399</v>
      </c>
      <c r="B256" s="1" t="s">
        <v>28</v>
      </c>
      <c r="C256" t="s">
        <v>79</v>
      </c>
      <c r="D256" s="1"/>
    </row>
    <row r="257" spans="1:4" x14ac:dyDescent="0.25">
      <c r="A257">
        <v>75015</v>
      </c>
      <c r="B257" s="1" t="s">
        <v>22</v>
      </c>
      <c r="C257" t="s">
        <v>67</v>
      </c>
      <c r="D257" s="1"/>
    </row>
    <row r="258" spans="1:4" x14ac:dyDescent="0.25">
      <c r="A258">
        <v>75031</v>
      </c>
      <c r="B258" s="1" t="s">
        <v>28</v>
      </c>
      <c r="C258" t="s">
        <v>79</v>
      </c>
      <c r="D258" s="1"/>
    </row>
    <row r="259" spans="1:4" x14ac:dyDescent="0.25">
      <c r="A259">
        <v>75038</v>
      </c>
      <c r="B259" s="1" t="s">
        <v>22</v>
      </c>
      <c r="C259" t="s">
        <v>67</v>
      </c>
      <c r="D259" s="1"/>
    </row>
    <row r="260" spans="1:4" x14ac:dyDescent="0.25">
      <c r="A260">
        <v>75050</v>
      </c>
      <c r="B260" s="1" t="s">
        <v>28</v>
      </c>
      <c r="C260" t="s">
        <v>79</v>
      </c>
      <c r="D260" s="1"/>
    </row>
    <row r="261" spans="1:4" x14ac:dyDescent="0.25">
      <c r="A261">
        <v>75056</v>
      </c>
      <c r="B261" s="1" t="s">
        <v>22</v>
      </c>
      <c r="C261" t="s">
        <v>67</v>
      </c>
      <c r="D261" s="1"/>
    </row>
    <row r="262" spans="1:4" x14ac:dyDescent="0.25">
      <c r="A262">
        <v>75057</v>
      </c>
      <c r="B262" s="1" t="s">
        <v>22</v>
      </c>
      <c r="C262" t="s">
        <v>67</v>
      </c>
      <c r="D262" s="1"/>
    </row>
    <row r="263" spans="1:4" x14ac:dyDescent="0.25">
      <c r="A263">
        <v>75059</v>
      </c>
      <c r="B263" s="1" t="s">
        <v>22</v>
      </c>
      <c r="C263" t="s">
        <v>67</v>
      </c>
      <c r="D263" s="1"/>
    </row>
    <row r="264" spans="1:4" x14ac:dyDescent="0.25">
      <c r="A264">
        <v>75172</v>
      </c>
      <c r="B264" s="1" t="s">
        <v>31</v>
      </c>
      <c r="C264" t="s">
        <v>91</v>
      </c>
      <c r="D264" s="1"/>
    </row>
    <row r="265" spans="1:4" x14ac:dyDescent="0.25">
      <c r="A265">
        <v>75173</v>
      </c>
      <c r="B265" s="1" t="s">
        <v>31</v>
      </c>
      <c r="C265" t="s">
        <v>91</v>
      </c>
      <c r="D265" s="1"/>
    </row>
    <row r="266" spans="1:4" x14ac:dyDescent="0.25">
      <c r="A266">
        <v>75175</v>
      </c>
      <c r="B266" s="1" t="s">
        <v>31</v>
      </c>
      <c r="C266" t="s">
        <v>91</v>
      </c>
      <c r="D266" s="1"/>
    </row>
    <row r="267" spans="1:4" x14ac:dyDescent="0.25">
      <c r="A267">
        <v>75177</v>
      </c>
      <c r="B267" s="1" t="s">
        <v>31</v>
      </c>
      <c r="C267" t="s">
        <v>91</v>
      </c>
      <c r="D267" s="1"/>
    </row>
    <row r="268" spans="1:4" x14ac:dyDescent="0.25">
      <c r="A268">
        <v>75179</v>
      </c>
      <c r="B268" s="1" t="s">
        <v>31</v>
      </c>
      <c r="C268" t="s">
        <v>91</v>
      </c>
      <c r="D268" s="1"/>
    </row>
    <row r="269" spans="1:4" x14ac:dyDescent="0.25">
      <c r="A269">
        <v>75180</v>
      </c>
      <c r="B269" s="1" t="s">
        <v>31</v>
      </c>
      <c r="C269" t="s">
        <v>91</v>
      </c>
      <c r="D269" s="1"/>
    </row>
    <row r="270" spans="1:4" x14ac:dyDescent="0.25">
      <c r="A270">
        <v>75181</v>
      </c>
      <c r="B270" s="1" t="s">
        <v>31</v>
      </c>
      <c r="C270" t="s">
        <v>91</v>
      </c>
      <c r="D270" s="1"/>
    </row>
    <row r="271" spans="1:4" x14ac:dyDescent="0.25">
      <c r="A271">
        <v>75217</v>
      </c>
      <c r="B271" s="1" t="s">
        <v>31</v>
      </c>
      <c r="C271" t="s">
        <v>91</v>
      </c>
      <c r="D271" s="1"/>
    </row>
    <row r="272" spans="1:4" x14ac:dyDescent="0.25">
      <c r="A272">
        <v>75223</v>
      </c>
      <c r="B272" s="1" t="s">
        <v>31</v>
      </c>
      <c r="C272" t="s">
        <v>91</v>
      </c>
      <c r="D272" s="1"/>
    </row>
    <row r="273" spans="1:4" x14ac:dyDescent="0.25">
      <c r="A273">
        <v>75228</v>
      </c>
      <c r="B273" s="1" t="s">
        <v>31</v>
      </c>
      <c r="C273" t="s">
        <v>91</v>
      </c>
      <c r="D273" s="1"/>
    </row>
    <row r="274" spans="1:4" x14ac:dyDescent="0.25">
      <c r="A274">
        <v>75233</v>
      </c>
      <c r="B274" s="1" t="s">
        <v>23</v>
      </c>
      <c r="C274" t="s">
        <v>67</v>
      </c>
      <c r="D274" s="1"/>
    </row>
    <row r="275" spans="1:4" x14ac:dyDescent="0.25">
      <c r="A275">
        <v>75239</v>
      </c>
      <c r="B275" s="1" t="s">
        <v>31</v>
      </c>
      <c r="C275" t="s">
        <v>91</v>
      </c>
      <c r="D275" s="1"/>
    </row>
    <row r="276" spans="1:4" x14ac:dyDescent="0.25">
      <c r="A276">
        <v>75242</v>
      </c>
      <c r="B276" s="1" t="s">
        <v>31</v>
      </c>
      <c r="C276" t="s">
        <v>91</v>
      </c>
      <c r="D276" s="1"/>
    </row>
    <row r="277" spans="1:4" x14ac:dyDescent="0.25">
      <c r="A277">
        <v>75245</v>
      </c>
      <c r="B277" s="1" t="s">
        <v>31</v>
      </c>
      <c r="C277" t="s">
        <v>91</v>
      </c>
      <c r="D277" s="1"/>
    </row>
    <row r="278" spans="1:4" x14ac:dyDescent="0.25">
      <c r="A278">
        <v>75248</v>
      </c>
      <c r="B278" s="1" t="s">
        <v>22</v>
      </c>
      <c r="C278" t="s">
        <v>67</v>
      </c>
      <c r="D278" s="1"/>
    </row>
    <row r="279" spans="1:4" x14ac:dyDescent="0.25">
      <c r="A279">
        <v>75249</v>
      </c>
      <c r="B279" s="1" t="s">
        <v>31</v>
      </c>
      <c r="C279" t="s">
        <v>91</v>
      </c>
      <c r="D279" s="1"/>
    </row>
    <row r="280" spans="1:4" x14ac:dyDescent="0.25">
      <c r="A280">
        <v>75305</v>
      </c>
      <c r="B280" s="1" t="s">
        <v>31</v>
      </c>
      <c r="C280" t="s">
        <v>91</v>
      </c>
      <c r="D280" s="1"/>
    </row>
    <row r="281" spans="1:4" x14ac:dyDescent="0.25">
      <c r="A281">
        <v>75328</v>
      </c>
      <c r="B281" s="1" t="s">
        <v>27</v>
      </c>
      <c r="C281" t="s">
        <v>91</v>
      </c>
      <c r="D281" s="1"/>
    </row>
    <row r="282" spans="1:4" x14ac:dyDescent="0.25">
      <c r="A282">
        <v>75331</v>
      </c>
      <c r="B282" s="1" t="s">
        <v>31</v>
      </c>
      <c r="C282" t="s">
        <v>91</v>
      </c>
      <c r="D282" s="1"/>
    </row>
    <row r="283" spans="1:4" x14ac:dyDescent="0.25">
      <c r="A283">
        <v>75365</v>
      </c>
      <c r="B283" s="1" t="s">
        <v>27</v>
      </c>
      <c r="C283" t="s">
        <v>91</v>
      </c>
      <c r="D283" s="1"/>
    </row>
    <row r="284" spans="1:4" x14ac:dyDescent="0.25">
      <c r="A284">
        <v>75378</v>
      </c>
      <c r="B284" s="1" t="s">
        <v>27</v>
      </c>
      <c r="C284" t="s">
        <v>91</v>
      </c>
      <c r="D284" s="1"/>
    </row>
    <row r="285" spans="1:4" x14ac:dyDescent="0.25">
      <c r="A285">
        <v>75382</v>
      </c>
      <c r="B285" s="1" t="s">
        <v>21</v>
      </c>
      <c r="C285" t="s">
        <v>91</v>
      </c>
      <c r="D285" s="1"/>
    </row>
    <row r="286" spans="1:4" x14ac:dyDescent="0.25">
      <c r="A286">
        <v>75385</v>
      </c>
      <c r="B286" s="1" t="s">
        <v>27</v>
      </c>
      <c r="C286" t="s">
        <v>91</v>
      </c>
      <c r="D286" s="1"/>
    </row>
    <row r="287" spans="1:4" x14ac:dyDescent="0.25">
      <c r="A287">
        <v>75387</v>
      </c>
      <c r="B287" s="1" t="s">
        <v>27</v>
      </c>
      <c r="C287" t="s">
        <v>91</v>
      </c>
      <c r="D287" s="1"/>
    </row>
    <row r="288" spans="1:4" x14ac:dyDescent="0.25">
      <c r="A288">
        <v>75389</v>
      </c>
      <c r="B288" s="1" t="s">
        <v>27</v>
      </c>
      <c r="C288" t="s">
        <v>91</v>
      </c>
      <c r="D288" s="1"/>
    </row>
    <row r="289" spans="1:4" x14ac:dyDescent="0.25">
      <c r="A289">
        <v>75391</v>
      </c>
      <c r="B289" s="1" t="s">
        <v>21</v>
      </c>
      <c r="C289" t="s">
        <v>91</v>
      </c>
      <c r="D289" s="1"/>
    </row>
    <row r="290" spans="1:4" x14ac:dyDescent="0.25">
      <c r="A290">
        <v>75392</v>
      </c>
      <c r="B290" s="1" t="s">
        <v>16</v>
      </c>
      <c r="C290" t="s">
        <v>91</v>
      </c>
      <c r="D290" s="1"/>
    </row>
    <row r="291" spans="1:4" x14ac:dyDescent="0.25">
      <c r="A291">
        <v>75394</v>
      </c>
      <c r="B291" s="1" t="s">
        <v>27</v>
      </c>
      <c r="C291" t="s">
        <v>91</v>
      </c>
      <c r="D291" s="1"/>
    </row>
    <row r="292" spans="1:4" x14ac:dyDescent="0.25">
      <c r="A292">
        <v>75395</v>
      </c>
      <c r="B292" s="1" t="s">
        <v>21</v>
      </c>
      <c r="C292" t="s">
        <v>91</v>
      </c>
      <c r="D292" s="1"/>
    </row>
    <row r="293" spans="1:4" x14ac:dyDescent="0.25">
      <c r="A293">
        <v>75397</v>
      </c>
      <c r="B293" s="1" t="s">
        <v>21</v>
      </c>
      <c r="C293" t="s">
        <v>91</v>
      </c>
      <c r="D293" s="1"/>
    </row>
    <row r="294" spans="1:4" x14ac:dyDescent="0.25">
      <c r="A294">
        <v>75399</v>
      </c>
      <c r="B294" s="1" t="s">
        <v>31</v>
      </c>
      <c r="C294" t="s">
        <v>91</v>
      </c>
      <c r="D294" s="1"/>
    </row>
    <row r="295" spans="1:4" x14ac:dyDescent="0.25">
      <c r="A295">
        <v>75417</v>
      </c>
      <c r="B295" s="1" t="s">
        <v>22</v>
      </c>
      <c r="C295" t="s">
        <v>67</v>
      </c>
      <c r="D295" s="1"/>
    </row>
    <row r="296" spans="1:4" x14ac:dyDescent="0.25">
      <c r="A296">
        <v>75428</v>
      </c>
      <c r="B296" s="1" t="s">
        <v>22</v>
      </c>
      <c r="C296" t="s">
        <v>67</v>
      </c>
      <c r="D296" s="1"/>
    </row>
    <row r="297" spans="1:4" x14ac:dyDescent="0.25">
      <c r="A297">
        <v>75433</v>
      </c>
      <c r="B297" s="1" t="s">
        <v>22</v>
      </c>
      <c r="C297" t="s">
        <v>67</v>
      </c>
      <c r="D297" s="1"/>
    </row>
    <row r="298" spans="1:4" x14ac:dyDescent="0.25">
      <c r="A298">
        <v>75438</v>
      </c>
      <c r="B298" s="1" t="s">
        <v>22</v>
      </c>
      <c r="C298" t="s">
        <v>67</v>
      </c>
      <c r="D298" s="1"/>
    </row>
    <row r="299" spans="1:4" x14ac:dyDescent="0.25">
      <c r="A299">
        <v>75443</v>
      </c>
      <c r="B299" s="1" t="s">
        <v>22</v>
      </c>
      <c r="C299" t="s">
        <v>67</v>
      </c>
      <c r="D299" s="1"/>
    </row>
    <row r="300" spans="1:4" x14ac:dyDescent="0.25">
      <c r="A300">
        <v>75446</v>
      </c>
      <c r="B300" s="1" t="s">
        <v>23</v>
      </c>
      <c r="C300" t="s">
        <v>67</v>
      </c>
      <c r="D300" s="1"/>
    </row>
    <row r="301" spans="1:4" x14ac:dyDescent="0.25">
      <c r="A301">
        <v>75447</v>
      </c>
      <c r="B301" s="1" t="s">
        <v>22</v>
      </c>
      <c r="C301" t="s">
        <v>67</v>
      </c>
      <c r="D301" s="1"/>
    </row>
    <row r="302" spans="1:4" x14ac:dyDescent="0.25">
      <c r="A302">
        <v>75449</v>
      </c>
      <c r="B302" s="1" t="s">
        <v>31</v>
      </c>
      <c r="C302" t="s">
        <v>91</v>
      </c>
      <c r="D302" s="1"/>
    </row>
  </sheetData>
  <autoFilter ref="A1:C302" xr:uid="{FCAE2708-036E-47AB-BE59-A49FE4EBDF20}">
    <sortState xmlns:xlrd2="http://schemas.microsoft.com/office/spreadsheetml/2017/richdata2" ref="A2:C302">
      <sortCondition ref="A1:A302"/>
    </sortState>
  </autoFilter>
  <pageMargins left="0.7" right="0.7" top="0.78740157499999996" bottom="0.78740157499999996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e7dc0be6-daa1-4f35-9d35-497853239c0f" xsi:nil="true"/>
    <lcf76f155ced4ddcb4097134ff3c332f xmlns="8d217198-a631-47f5-b150-0aeb3c62d94d">
      <Terms xmlns="http://schemas.microsoft.com/office/infopath/2007/PartnerControls"/>
    </lcf76f155ced4ddcb4097134ff3c332f>
    <_Flow_SignoffStatus xmlns="8d217198-a631-47f5-b150-0aeb3c62d94d" xsi:nil="true"/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kument" ma:contentTypeID="0x010100CE2B3F6114E1E74E861746F53C3C6978" ma:contentTypeVersion="12" ma:contentTypeDescription="Ein neues Dokument erstellen." ma:contentTypeScope="" ma:versionID="a051569b83eeacf5a9523c4d87453fc0">
  <xsd:schema xmlns:xsd="http://www.w3.org/2001/XMLSchema" xmlns:xs="http://www.w3.org/2001/XMLSchema" xmlns:p="http://schemas.microsoft.com/office/2006/metadata/properties" xmlns:ns2="8d217198-a631-47f5-b150-0aeb3c62d94d" xmlns:ns3="e7dc0be6-daa1-4f35-9d35-497853239c0f" targetNamespace="http://schemas.microsoft.com/office/2006/metadata/properties" ma:root="true" ma:fieldsID="e7a63424f2e79761a5b397467f4e3a63" ns2:_="" ns3:_="">
    <xsd:import namespace="8d217198-a631-47f5-b150-0aeb3c62d94d"/>
    <xsd:import namespace="e7dc0be6-daa1-4f35-9d35-497853239c0f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_Flow_SignoffStatu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d217198-a631-47f5-b150-0aeb3c62d94d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Bildmarkierungen" ma:readOnly="false" ma:fieldId="{5cf76f15-5ced-4ddc-b409-7134ff3c332f}" ma:taxonomyMulti="true" ma:sspId="75197abd-cf26-49ac-9172-782c218506ba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5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_Flow_SignoffStatus" ma:index="19" nillable="true" ma:displayName="Status Unterschrift" ma:internalName="_x0024_Resources_x003a_core_x002c_Signoff_Status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7dc0be6-daa1-4f35-9d35-497853239c0f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e6748f50-5da4-47f9-8036-5b3f691a6817}" ma:internalName="TaxCatchAll" ma:showField="CatchAllData" ma:web="e7dc0be6-daa1-4f35-9d35-497853239c0f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Inhaltstyp"/>
        <xsd:element ref="dc:title" minOccurs="0" maxOccurs="1" ma:index="4" ma:displayName="Titel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99F9B23B-E996-4802-9F31-1587862F51BA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3798C7E5-A86B-4B9A-82C7-39F1CB507D0C}">
  <ds:schemaRefs>
    <ds:schemaRef ds:uri="http://purl.org/dc/dcmitype/"/>
    <ds:schemaRef ds:uri="http://purl.org/dc/elements/1.1/"/>
    <ds:schemaRef ds:uri="8d217198-a631-47f5-b150-0aeb3c62d94d"/>
    <ds:schemaRef ds:uri="http://schemas.microsoft.com/office/2006/documentManagement/types"/>
    <ds:schemaRef ds:uri="http://schemas.microsoft.com/office/infopath/2007/PartnerControls"/>
    <ds:schemaRef ds:uri="http://www.w3.org/XML/1998/namespace"/>
    <ds:schemaRef ds:uri="e7dc0be6-daa1-4f35-9d35-497853239c0f"/>
    <ds:schemaRef ds:uri="http://schemas.microsoft.com/office/2006/metadata/properties"/>
    <ds:schemaRef ds:uri="http://schemas.openxmlformats.org/package/2006/metadata/core-properties"/>
    <ds:schemaRef ds:uri="http://purl.org/dc/terms/"/>
  </ds:schemaRefs>
</ds:datastoreItem>
</file>

<file path=customXml/itemProps3.xml><?xml version="1.0" encoding="utf-8"?>
<ds:datastoreItem xmlns:ds="http://schemas.openxmlformats.org/officeDocument/2006/customXml" ds:itemID="{C54DFA9E-137F-4CD1-9349-1295947D1B55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8d217198-a631-47f5-b150-0aeb3c62d94d"/>
    <ds:schemaRef ds:uri="e7dc0be6-daa1-4f35-9d35-497853239c0f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4</vt:i4>
      </vt:variant>
    </vt:vector>
  </HeadingPairs>
  <TitlesOfParts>
    <vt:vector size="4" baseType="lpstr">
      <vt:lpstr>Pivot</vt:lpstr>
      <vt:lpstr>Fahrzeuganzahl Tourgebiet</vt:lpstr>
      <vt:lpstr>Detaildaten</vt:lpstr>
      <vt:lpstr>Regiograph Hilfstabelle</vt:lpstr>
    </vt:vector>
  </TitlesOfParts>
  <Manager/>
  <Company>C.E. Noerpel GmbH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Meckle Dominik</dc:creator>
  <cp:keywords/>
  <dc:description/>
  <cp:lastModifiedBy>Engel Carlos</cp:lastModifiedBy>
  <cp:revision/>
  <dcterms:created xsi:type="dcterms:W3CDTF">2025-05-28T06:14:13Z</dcterms:created>
  <dcterms:modified xsi:type="dcterms:W3CDTF">2026-04-30T14:03:51Z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0x010100CE2B3F6114E1E74E861746F53C3C6978</vt:lpwstr>
  </property>
  <property fmtid="{D5CDD505-2E9C-101B-9397-08002B2CF9AE}" pid="3" name="MediaServiceImageTags">
    <vt:lpwstr/>
  </property>
</Properties>
</file>